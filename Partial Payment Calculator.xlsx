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SM0357\Documents\Claude\Projects\DCs Extension\"/>
    </mc:Choice>
  </mc:AlternateContent>
  <xr:revisionPtr revIDLastSave="0" documentId="13_ncr:1_{2F5279B9-8E63-41B7-B269-D8C9872B481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คำนวณดอกเบี้ย SPL" sheetId="1" r:id="rId1"/>
    <sheet name="Product type" sheetId="8" r:id="rId2"/>
    <sheet name="คำนวณดอกเบี้ย BCL &amp; SCL" sheetId="2" r:id="rId3"/>
    <sheet name="เงื่อนไข" sheetId="3" r:id="rId4"/>
    <sheet name="คำนวนการแบ่งชำระ 1" sheetId="4" r:id="rId5"/>
    <sheet name="ส่วนลดปิดบัญชี WRO 3" sheetId="5" r:id="rId6"/>
    <sheet name="คำนวนการแบ่งชำระ 2" sheetId="6" state="hidden" r:id="rId7"/>
    <sheet name="SEC(BCL)" sheetId="7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7" l="1"/>
  <c r="B56" i="7" s="1"/>
  <c r="B40" i="7"/>
  <c r="B44" i="7" s="1"/>
  <c r="B28" i="7"/>
  <c r="B32" i="7" s="1"/>
  <c r="B16" i="7"/>
  <c r="B20" i="7" s="1"/>
  <c r="B4" i="7"/>
  <c r="B8" i="7" s="1"/>
  <c r="F69" i="6"/>
  <c r="C69" i="6"/>
  <c r="F67" i="6"/>
  <c r="C67" i="6"/>
  <c r="C65" i="6"/>
  <c r="F54" i="6"/>
  <c r="C54" i="6"/>
  <c r="F52" i="6"/>
  <c r="C52" i="6"/>
  <c r="C50" i="6"/>
  <c r="F39" i="6"/>
  <c r="C39" i="6"/>
  <c r="F37" i="6"/>
  <c r="C37" i="6"/>
  <c r="C35" i="6"/>
  <c r="F24" i="6"/>
  <c r="C24" i="6"/>
  <c r="F22" i="6"/>
  <c r="C22" i="6"/>
  <c r="C20" i="6"/>
  <c r="F9" i="6"/>
  <c r="C9" i="6"/>
  <c r="F7" i="6"/>
  <c r="C7" i="6"/>
  <c r="C5" i="6"/>
  <c r="D111" i="5"/>
  <c r="F111" i="5" s="1"/>
  <c r="D109" i="5"/>
  <c r="F109" i="5" s="1"/>
  <c r="D107" i="5"/>
  <c r="F107" i="5" s="1"/>
  <c r="D105" i="5"/>
  <c r="F105" i="5" s="1"/>
  <c r="G103" i="5"/>
  <c r="D103" i="5"/>
  <c r="F103" i="5" s="1"/>
  <c r="G101" i="5"/>
  <c r="D101" i="5"/>
  <c r="F101" i="5" s="1"/>
  <c r="D99" i="5"/>
  <c r="F99" i="5" s="1"/>
  <c r="D97" i="5"/>
  <c r="F97" i="5" s="1"/>
  <c r="D95" i="5"/>
  <c r="F95" i="5" s="1"/>
  <c r="D93" i="5"/>
  <c r="F93" i="5" s="1"/>
  <c r="D83" i="5"/>
  <c r="F83" i="5" s="1"/>
  <c r="D81" i="5"/>
  <c r="F81" i="5" s="1"/>
  <c r="D79" i="5"/>
  <c r="F79" i="5" s="1"/>
  <c r="D77" i="5"/>
  <c r="F77" i="5" s="1"/>
  <c r="D75" i="5"/>
  <c r="F75" i="5" s="1"/>
  <c r="D73" i="5"/>
  <c r="F73" i="5" s="1"/>
  <c r="D71" i="5"/>
  <c r="F71" i="5" s="1"/>
  <c r="D69" i="5"/>
  <c r="F69" i="5" s="1"/>
  <c r="D67" i="5"/>
  <c r="F67" i="5" s="1"/>
  <c r="D65" i="5"/>
  <c r="F65" i="5" s="1"/>
  <c r="D55" i="5"/>
  <c r="F55" i="5" s="1"/>
  <c r="D53" i="5"/>
  <c r="F53" i="5" s="1"/>
  <c r="D51" i="5"/>
  <c r="F51" i="5" s="1"/>
  <c r="D49" i="5"/>
  <c r="F49" i="5" s="1"/>
  <c r="D47" i="5"/>
  <c r="F47" i="5" s="1"/>
  <c r="D45" i="5"/>
  <c r="F45" i="5" s="1"/>
  <c r="D43" i="5"/>
  <c r="F43" i="5" s="1"/>
  <c r="D41" i="5"/>
  <c r="F41" i="5" s="1"/>
  <c r="D39" i="5"/>
  <c r="F39" i="5" s="1"/>
  <c r="D37" i="5"/>
  <c r="F37" i="5" s="1"/>
  <c r="D25" i="5"/>
  <c r="F25" i="5" s="1"/>
  <c r="D23" i="5"/>
  <c r="F23" i="5" s="1"/>
  <c r="D21" i="5"/>
  <c r="F21" i="5" s="1"/>
  <c r="D19" i="5"/>
  <c r="F19" i="5" s="1"/>
  <c r="D17" i="5"/>
  <c r="F17" i="5" s="1"/>
  <c r="D15" i="5"/>
  <c r="F15" i="5" s="1"/>
  <c r="D13" i="5"/>
  <c r="F13" i="5" s="1"/>
  <c r="D11" i="5"/>
  <c r="F11" i="5" s="1"/>
  <c r="D9" i="5"/>
  <c r="F9" i="5" s="1"/>
  <c r="D7" i="5"/>
  <c r="F7" i="5" s="1"/>
  <c r="F115" i="4"/>
  <c r="C115" i="4"/>
  <c r="F113" i="4"/>
  <c r="C113" i="4"/>
  <c r="C111" i="4"/>
  <c r="F100" i="4"/>
  <c r="C100" i="4"/>
  <c r="F98" i="4"/>
  <c r="C98" i="4"/>
  <c r="C96" i="4"/>
  <c r="F85" i="4"/>
  <c r="C85" i="4"/>
  <c r="F83" i="4"/>
  <c r="C83" i="4"/>
  <c r="C81" i="4"/>
  <c r="F70" i="4"/>
  <c r="C70" i="4"/>
  <c r="F68" i="4"/>
  <c r="C68" i="4"/>
  <c r="C66" i="4"/>
  <c r="F55" i="4"/>
  <c r="C55" i="4"/>
  <c r="F53" i="4"/>
  <c r="C53" i="4"/>
  <c r="C51" i="4"/>
  <c r="F40" i="4"/>
  <c r="C40" i="4"/>
  <c r="F38" i="4"/>
  <c r="C38" i="4"/>
  <c r="C36" i="4"/>
  <c r="F25" i="4"/>
  <c r="C25" i="4"/>
  <c r="F23" i="4"/>
  <c r="C23" i="4"/>
  <c r="C21" i="4"/>
  <c r="F9" i="4"/>
  <c r="C9" i="4"/>
  <c r="F7" i="4"/>
  <c r="C7" i="4"/>
  <c r="C5" i="4"/>
  <c r="B19" i="2"/>
  <c r="B23" i="2" s="1"/>
  <c r="B6" i="2"/>
  <c r="B10" i="2" s="1"/>
  <c r="B19" i="1"/>
  <c r="B23" i="1" s="1"/>
  <c r="B6" i="1"/>
  <c r="B10" i="1" s="1"/>
</calcChain>
</file>

<file path=xl/sharedStrings.xml><?xml version="1.0" encoding="utf-8"?>
<sst xmlns="http://schemas.openxmlformats.org/spreadsheetml/2006/main" count="235" uniqueCount="67">
  <si>
    <t>SPL CCC</t>
  </si>
  <si>
    <t>ตาราง 1</t>
  </si>
  <si>
    <t>* ทุกตารางเหมือนกัน ป้องกันการใช้งานทับซ้อนกัน</t>
  </si>
  <si>
    <t>ระบุเงินต้นจากค่างวด</t>
  </si>
  <si>
    <t>ดอกเบี้ยล่าช้าต่อวัน (บาท)</t>
  </si>
  <si>
    <t>อัตราดอกเบี้ย / ปี</t>
  </si>
  <si>
    <t>ดอกเบี้ยล่าช้า(บาท)</t>
  </si>
  <si>
    <t>ระบุจำนวนวัน</t>
  </si>
  <si>
    <t>SPL DGL</t>
  </si>
  <si>
    <t>ตาราง 2</t>
  </si>
  <si>
    <t>DGL</t>
  </si>
  <si>
    <t>ตารางที่ 1</t>
  </si>
  <si>
    <t>Nano</t>
  </si>
  <si>
    <t>ตารางที่ 2</t>
  </si>
  <si>
    <t>ยอด</t>
  </si>
  <si>
    <t>Green Zone</t>
  </si>
  <si>
    <t>Yellow Zone</t>
  </si>
  <si>
    <t>Red Zone</t>
  </si>
  <si>
    <t>1,000&lt;3,000</t>
  </si>
  <si>
    <t>-</t>
  </si>
  <si>
    <t>3,000&lt;5,000</t>
  </si>
  <si>
    <t>5,000&lt;7,500</t>
  </si>
  <si>
    <t>7,500&lt;10,000</t>
  </si>
  <si>
    <t>&gt;10,000</t>
  </si>
  <si>
    <t>ระบุ Amount to Pay</t>
  </si>
  <si>
    <t xml:space="preserve">        4,139.43อ</t>
  </si>
  <si>
    <t>Red Zone จะทำการแบ่งชำระได้ก็ต่อเมื่อมียอด 3000 บาท ขึ้นไป</t>
  </si>
  <si>
    <t>ลูกค้าที่มียอดตั้งแต่ 5000 บาทขึ้นไปสามารถแบ่งชำระ 15-30% ได้ตามลำดับ</t>
  </si>
  <si>
    <t>พ</t>
  </si>
  <si>
    <t>ส่วนลดที่ได้รับ</t>
  </si>
  <si>
    <t>ยอดชำระจริง</t>
  </si>
  <si>
    <t>Green</t>
  </si>
  <si>
    <t>Yellow</t>
  </si>
  <si>
    <t>Red</t>
  </si>
  <si>
    <t>ระบุ 
เงินต้นจากค่างวด</t>
  </si>
  <si>
    <t>ระบุ จำนวนวัน</t>
  </si>
  <si>
    <t>ตาราง 3</t>
  </si>
  <si>
    <t>ตาราง 4</t>
  </si>
  <si>
    <t>ตาราง 5</t>
  </si>
  <si>
    <t>ชื่อ ( EN )</t>
  </si>
  <si>
    <t>LC</t>
  </si>
  <si>
    <t>ตัวย่อสินเชื่อ</t>
  </si>
  <si>
    <t>ShopeePayLaterDigi</t>
  </si>
  <si>
    <t>SPL Digi</t>
  </si>
  <si>
    <t>SPL</t>
  </si>
  <si>
    <t>Buyer Cash LoanDigi</t>
  </si>
  <si>
    <t>PCL Digi</t>
  </si>
  <si>
    <t>BCL</t>
  </si>
  <si>
    <t>Buyer Cash LoanNano</t>
  </si>
  <si>
    <t>PCL Nano</t>
  </si>
  <si>
    <t>Seller Cash LoanP-loan</t>
  </si>
  <si>
    <t>SCL P-Loan</t>
  </si>
  <si>
    <t>SCL</t>
  </si>
  <si>
    <t>Seller Cash LoanNano</t>
  </si>
  <si>
    <t>SCL Nano</t>
  </si>
  <si>
    <t>ShopeePayLater ExtraCCC</t>
  </si>
  <si>
    <t>SPLX CCC</t>
  </si>
  <si>
    <t>SPLX</t>
  </si>
  <si>
    <t>ShopeePayLaterCCC</t>
  </si>
  <si>
    <t>Term LoanP-loan</t>
  </si>
  <si>
    <t>TL</t>
  </si>
  <si>
    <t>Fast Escrow</t>
  </si>
  <si>
    <t>Fast</t>
  </si>
  <si>
    <t>สินเชื่อเงินสดสำหรับผู้ซื้อDigi</t>
  </si>
  <si>
    <t>สินเชื่อเงินสดสำหรับผู้ซื้อNano</t>
  </si>
  <si>
    <t>สินเชื่อเงินสดสำหรับผู้ขายP-loan</t>
  </si>
  <si>
    <t>สินเชื่อเงินสดสำหรับผู้ขายNano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</si>
</sst>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sz val="10"/>
      <color theme="1"/>
      <name val="Arial"/>
    </font>
    <font>
      <sz val="10"/>
      <color rgb="FFFF0000"/>
      <name val="Arial"/>
    </font>
    <font>
      <sz val="10"/>
      <color rgb="FF000000"/>
      <name val="Arial"/>
    </font>
    <font>
      <sz val="14"/>
      <color theme="1"/>
      <name val="Calibri"/>
    </font>
    <font>
      <sz val="14"/>
      <color rgb="FFFFFFFF"/>
      <name val="Calibri"/>
    </font>
    <font>
      <sz val="10"/>
      <name val="Arial"/>
    </font>
    <font>
      <sz val="11"/>
      <color rgb="FF000000"/>
      <name val="Arial"/>
    </font>
    <font>
      <sz val="24"/>
      <color theme="1"/>
      <name val="Calibri"/>
    </font>
    <font>
      <sz val="11"/>
      <color rgb="FF000000"/>
      <name val="-apple-system"/>
    </font>
    <font>
      <sz val="12"/>
      <color rgb="FFFFFFFF"/>
      <name val="Calibri"/>
    </font>
    <font>
      <sz val="14"/>
      <color rgb="FF3C4043"/>
      <name val="Inconsolata"/>
    </font>
    <font>
      <b/>
      <i/>
      <sz val="14"/>
      <color rgb="FF3C4043"/>
      <name val="Roboto"/>
    </font>
    <font>
      <b/>
      <sz val="10"/>
      <color rgb="FF000000"/>
      <name val="Arial"/>
    </font>
    <font>
      <sz val="10"/>
      <color rgb="FF000000"/>
      <name val="Arial"/>
    </font>
    <font>
      <sz val="18"/>
      <color rgb="FFFFFFFF"/>
      <name val="Calibri"/>
    </font>
    <font>
      <sz val="10"/>
      <color theme="1"/>
      <name val="Arial"/>
      <scheme val="minor"/>
    </font>
    <font>
      <sz val="18"/>
      <color rgb="FFFFFFFF"/>
      <name val="Arial"/>
    </font>
    <font>
      <sz val="14"/>
      <color rgb="FFFFFFFF"/>
      <name val="Arial"/>
    </font>
    <font>
      <sz val="18"/>
      <color rgb="FF00FF00"/>
      <name val="Arial"/>
    </font>
    <font>
      <sz val="24"/>
      <color theme="0"/>
      <name val="Arial"/>
    </font>
    <font>
      <sz val="10"/>
      <color theme="0"/>
      <name val="Arial"/>
    </font>
    <font>
      <sz val="18"/>
      <color theme="0"/>
      <name val="Arial"/>
    </font>
    <font>
      <sz val="18"/>
      <color rgb="FFFFFF00"/>
      <name val="Arial"/>
    </font>
    <font>
      <sz val="18"/>
      <color rgb="FFFF0000"/>
      <name val="Arial"/>
    </font>
    <font>
      <b/>
      <sz val="10"/>
      <color theme="0"/>
      <name val="Arial"/>
    </font>
    <font>
      <sz val="10"/>
      <color rgb="FFFFFFFF"/>
      <name val="Arial"/>
    </font>
    <font>
      <sz val="11"/>
      <color rgb="FFFFFFFF"/>
      <name val="Arial"/>
    </font>
    <font>
      <b/>
      <sz val="11"/>
      <color rgb="FF000000"/>
      <name val="-apple-system"/>
    </font>
    <font>
      <sz val="23"/>
      <color rgb="FFFFFFFF"/>
      <name val="Arial"/>
    </font>
    <font>
      <sz val="16"/>
      <color theme="0"/>
      <name val="Arial"/>
    </font>
    <font>
      <b/>
      <sz val="22"/>
      <color theme="0"/>
      <name val="Arial"/>
    </font>
    <font>
      <b/>
      <sz val="10"/>
      <color theme="1"/>
      <name val="Arial"/>
    </font>
    <font>
      <sz val="10"/>
      <color rgb="FFFF0000"/>
      <name val="Arial"/>
      <scheme val="minor"/>
    </font>
    <font>
      <sz val="23"/>
      <color rgb="FF000000"/>
      <name val="Arial"/>
    </font>
    <font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1155CC"/>
        <bgColor rgb="FF1155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/>
    <xf numFmtId="0" fontId="4" fillId="0" borderId="3" xfId="0" applyFont="1" applyBorder="1"/>
    <xf numFmtId="3" fontId="8" fillId="4" borderId="1" xfId="0" applyNumberFormat="1" applyFont="1" applyFill="1" applyBorder="1" applyAlignment="1">
      <alignment horizontal="left"/>
    </xf>
    <xf numFmtId="2" fontId="9" fillId="2" borderId="1" xfId="0" applyNumberFormat="1" applyFont="1" applyFill="1" applyBorder="1"/>
    <xf numFmtId="9" fontId="9" fillId="2" borderId="1" xfId="0" applyNumberFormat="1" applyFont="1" applyFill="1" applyBorder="1"/>
    <xf numFmtId="0" fontId="10" fillId="5" borderId="6" xfId="0" applyFont="1" applyFill="1" applyBorder="1" applyAlignment="1">
      <alignment horizontal="left"/>
    </xf>
    <xf numFmtId="0" fontId="4" fillId="0" borderId="0" xfId="0" applyFont="1"/>
    <xf numFmtId="0" fontId="4" fillId="0" borderId="7" xfId="0" applyFont="1" applyBorder="1"/>
    <xf numFmtId="0" fontId="10" fillId="6" borderId="8" xfId="0" applyFont="1" applyFill="1" applyBorder="1"/>
    <xf numFmtId="0" fontId="5" fillId="0" borderId="5" xfId="0" applyFont="1" applyBorder="1" applyAlignment="1">
      <alignment horizontal="left" vertical="center" wrapText="1"/>
    </xf>
    <xf numFmtId="3" fontId="9" fillId="4" borderId="1" xfId="0" applyNumberFormat="1" applyFont="1" applyFill="1" applyBorder="1"/>
    <xf numFmtId="0" fontId="4" fillId="0" borderId="9" xfId="0" applyFont="1" applyBorder="1"/>
    <xf numFmtId="0" fontId="2" fillId="7" borderId="10" xfId="0" applyFont="1" applyFill="1" applyBorder="1"/>
    <xf numFmtId="0" fontId="2" fillId="8" borderId="1" xfId="0" applyFont="1" applyFill="1" applyBorder="1" applyAlignment="1">
      <alignment horizontal="left" vertical="center"/>
    </xf>
    <xf numFmtId="2" fontId="9" fillId="8" borderId="1" xfId="0" applyNumberFormat="1" applyFont="1" applyFill="1" applyBorder="1"/>
    <xf numFmtId="9" fontId="9" fillId="8" borderId="1" xfId="0" applyNumberFormat="1" applyFont="1" applyFill="1" applyBorder="1"/>
    <xf numFmtId="0" fontId="2" fillId="9" borderId="11" xfId="0" applyFont="1" applyFill="1" applyBorder="1" applyAlignment="1">
      <alignment horizontal="left" vertical="center"/>
    </xf>
    <xf numFmtId="3" fontId="8" fillId="4" borderId="16" xfId="0" applyNumberFormat="1" applyFont="1" applyFill="1" applyBorder="1" applyAlignment="1">
      <alignment horizontal="left"/>
    </xf>
    <xf numFmtId="2" fontId="12" fillId="2" borderId="17" xfId="0" applyNumberFormat="1" applyFont="1" applyFill="1" applyBorder="1"/>
    <xf numFmtId="9" fontId="13" fillId="2" borderId="18" xfId="0" applyNumberFormat="1" applyFont="1" applyFill="1" applyBorder="1"/>
    <xf numFmtId="0" fontId="10" fillId="5" borderId="8" xfId="0" applyFont="1" applyFill="1" applyBorder="1" applyAlignment="1">
      <alignment horizontal="left"/>
    </xf>
    <xf numFmtId="0" fontId="10" fillId="6" borderId="19" xfId="0" applyFont="1" applyFill="1" applyBorder="1"/>
    <xf numFmtId="2" fontId="9" fillId="10" borderId="1" xfId="0" applyNumberFormat="1" applyFont="1" applyFill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9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9" fontId="2" fillId="0" borderId="0" xfId="0" applyNumberFormat="1" applyFont="1"/>
    <xf numFmtId="4" fontId="10" fillId="7" borderId="10" xfId="0" applyNumberFormat="1" applyFont="1" applyFill="1" applyBorder="1" applyAlignment="1">
      <alignment vertical="top"/>
    </xf>
    <xf numFmtId="4" fontId="10" fillId="11" borderId="10" xfId="0" applyNumberFormat="1" applyFont="1" applyFill="1" applyBorder="1"/>
    <xf numFmtId="0" fontId="2" fillId="7" borderId="20" xfId="0" applyFont="1" applyFill="1" applyBorder="1"/>
    <xf numFmtId="0" fontId="2" fillId="0" borderId="0" xfId="0" applyFont="1"/>
    <xf numFmtId="0" fontId="16" fillId="7" borderId="10" xfId="0" applyFont="1" applyFill="1" applyBorder="1" applyAlignment="1">
      <alignment vertical="top" wrapText="1"/>
    </xf>
    <xf numFmtId="3" fontId="2" fillId="7" borderId="10" xfId="0" applyNumberFormat="1" applyFont="1" applyFill="1" applyBorder="1"/>
    <xf numFmtId="39" fontId="17" fillId="0" borderId="0" xfId="0" applyNumberFormat="1" applyFont="1"/>
    <xf numFmtId="4" fontId="2" fillId="7" borderId="10" xfId="0" applyNumberFormat="1" applyFont="1" applyFill="1" applyBorder="1"/>
    <xf numFmtId="0" fontId="18" fillId="7" borderId="20" xfId="0" applyFont="1" applyFill="1" applyBorder="1" applyAlignment="1">
      <alignment horizontal="right" vertical="top"/>
    </xf>
    <xf numFmtId="4" fontId="2" fillId="0" borderId="0" xfId="0" applyNumberFormat="1" applyFont="1"/>
    <xf numFmtId="9" fontId="15" fillId="0" borderId="0" xfId="0" applyNumberFormat="1" applyFont="1" applyAlignment="1">
      <alignment horizontal="center"/>
    </xf>
    <xf numFmtId="0" fontId="19" fillId="7" borderId="10" xfId="0" applyFont="1" applyFill="1" applyBorder="1"/>
    <xf numFmtId="3" fontId="10" fillId="6" borderId="0" xfId="0" applyNumberFormat="1" applyFont="1" applyFill="1"/>
    <xf numFmtId="4" fontId="10" fillId="7" borderId="20" xfId="0" applyNumberFormat="1" applyFont="1" applyFill="1" applyBorder="1"/>
    <xf numFmtId="0" fontId="20" fillId="7" borderId="10" xfId="0" applyFont="1" applyFill="1" applyBorder="1"/>
    <xf numFmtId="9" fontId="18" fillId="7" borderId="10" xfId="0" applyNumberFormat="1" applyFont="1" applyFill="1" applyBorder="1" applyAlignment="1">
      <alignment horizontal="center"/>
    </xf>
    <xf numFmtId="3" fontId="21" fillId="11" borderId="10" xfId="0" applyNumberFormat="1" applyFont="1" applyFill="1" applyBorder="1" applyAlignment="1">
      <alignment horizontal="right"/>
    </xf>
    <xf numFmtId="9" fontId="22" fillId="11" borderId="10" xfId="0" applyNumberFormat="1" applyFont="1" applyFill="1" applyBorder="1"/>
    <xf numFmtId="9" fontId="23" fillId="11" borderId="10" xfId="0" applyNumberFormat="1" applyFont="1" applyFill="1" applyBorder="1" applyAlignment="1">
      <alignment horizontal="center"/>
    </xf>
    <xf numFmtId="0" fontId="22" fillId="11" borderId="10" xfId="0" applyFont="1" applyFill="1" applyBorder="1"/>
    <xf numFmtId="3" fontId="21" fillId="11" borderId="10" xfId="0" applyNumberFormat="1" applyFont="1" applyFill="1" applyBorder="1"/>
    <xf numFmtId="0" fontId="24" fillId="7" borderId="10" xfId="0" applyFont="1" applyFill="1" applyBorder="1"/>
    <xf numFmtId="9" fontId="18" fillId="11" borderId="10" xfId="0" applyNumberFormat="1" applyFont="1" applyFill="1" applyBorder="1" applyAlignment="1">
      <alignment horizontal="center"/>
    </xf>
    <xf numFmtId="0" fontId="25" fillId="7" borderId="10" xfId="0" applyFont="1" applyFill="1" applyBorder="1"/>
    <xf numFmtId="0" fontId="26" fillId="12" borderId="0" xfId="0" applyFont="1" applyFill="1" applyAlignment="1">
      <alignment vertical="center"/>
    </xf>
    <xf numFmtId="0" fontId="27" fillId="7" borderId="10" xfId="0" applyFont="1" applyFill="1" applyBorder="1"/>
    <xf numFmtId="0" fontId="26" fillId="13" borderId="0" xfId="0" applyFont="1" applyFill="1" applyAlignment="1">
      <alignment vertical="center"/>
    </xf>
    <xf numFmtId="0" fontId="28" fillId="7" borderId="10" xfId="0" applyFont="1" applyFill="1" applyBorder="1"/>
    <xf numFmtId="0" fontId="18" fillId="7" borderId="10" xfId="0" applyFont="1" applyFill="1" applyBorder="1" applyAlignment="1">
      <alignment horizontal="right" vertical="top"/>
    </xf>
    <xf numFmtId="3" fontId="10" fillId="7" borderId="0" xfId="0" applyNumberFormat="1" applyFont="1" applyFill="1"/>
    <xf numFmtId="4" fontId="10" fillId="7" borderId="10" xfId="0" applyNumberFormat="1" applyFont="1" applyFill="1" applyBorder="1"/>
    <xf numFmtId="39" fontId="29" fillId="6" borderId="0" xfId="0" applyNumberFormat="1" applyFont="1" applyFill="1"/>
    <xf numFmtId="39" fontId="8" fillId="6" borderId="0" xfId="0" applyNumberFormat="1" applyFont="1" applyFill="1"/>
    <xf numFmtId="39" fontId="10" fillId="6" borderId="0" xfId="0" applyNumberFormat="1" applyFont="1" applyFill="1"/>
    <xf numFmtId="3" fontId="18" fillId="11" borderId="0" xfId="0" applyNumberFormat="1" applyFont="1" applyFill="1" applyAlignment="1">
      <alignment horizontal="right"/>
    </xf>
    <xf numFmtId="0" fontId="30" fillId="11" borderId="10" xfId="0" applyFont="1" applyFill="1" applyBorder="1" applyAlignment="1">
      <alignment horizontal="center"/>
    </xf>
    <xf numFmtId="3" fontId="31" fillId="11" borderId="10" xfId="0" applyNumberFormat="1" applyFont="1" applyFill="1" applyBorder="1" applyAlignment="1">
      <alignment horizontal="right"/>
    </xf>
    <xf numFmtId="4" fontId="32" fillId="14" borderId="10" xfId="0" applyNumberFormat="1" applyFont="1" applyFill="1" applyBorder="1" applyAlignment="1">
      <alignment horizontal="center"/>
    </xf>
    <xf numFmtId="4" fontId="17" fillId="0" borderId="0" xfId="0" applyNumberFormat="1" applyFont="1"/>
    <xf numFmtId="3" fontId="31" fillId="11" borderId="0" xfId="0" applyNumberFormat="1" applyFont="1" applyFill="1" applyAlignment="1">
      <alignment horizontal="right"/>
    </xf>
    <xf numFmtId="4" fontId="32" fillId="7" borderId="10" xfId="0" applyNumberFormat="1" applyFont="1" applyFill="1" applyBorder="1" applyAlignment="1">
      <alignment horizontal="center"/>
    </xf>
    <xf numFmtId="4" fontId="26" fillId="11" borderId="10" xfId="0" applyNumberFormat="1" applyFont="1" applyFill="1" applyBorder="1"/>
    <xf numFmtId="9" fontId="17" fillId="0" borderId="0" xfId="0" applyNumberFormat="1" applyFont="1"/>
    <xf numFmtId="3" fontId="17" fillId="0" borderId="0" xfId="0" applyNumberFormat="1" applyFont="1"/>
    <xf numFmtId="4" fontId="33" fillId="7" borderId="10" xfId="0" applyNumberFormat="1" applyFont="1" applyFill="1" applyBorder="1"/>
    <xf numFmtId="10" fontId="17" fillId="0" borderId="0" xfId="0" applyNumberFormat="1" applyFont="1"/>
    <xf numFmtId="0" fontId="2" fillId="7" borderId="0" xfId="0" applyFont="1" applyFill="1"/>
    <xf numFmtId="4" fontId="2" fillId="7" borderId="0" xfId="0" applyNumberFormat="1" applyFont="1" applyFill="1"/>
    <xf numFmtId="0" fontId="34" fillId="0" borderId="0" xfId="0" applyFont="1"/>
    <xf numFmtId="0" fontId="17" fillId="7" borderId="0" xfId="0" applyFont="1" applyFill="1"/>
    <xf numFmtId="39" fontId="35" fillId="5" borderId="0" xfId="0" applyNumberFormat="1" applyFont="1" applyFill="1" applyAlignment="1">
      <alignment horizontal="right"/>
    </xf>
    <xf numFmtId="3" fontId="10" fillId="11" borderId="10" xfId="0" applyNumberFormat="1" applyFont="1" applyFill="1" applyBorder="1"/>
    <xf numFmtId="0" fontId="20" fillId="7" borderId="0" xfId="0" applyFont="1" applyFill="1"/>
    <xf numFmtId="0" fontId="36" fillId="7" borderId="0" xfId="0" applyFont="1" applyFill="1"/>
    <xf numFmtId="0" fontId="24" fillId="7" borderId="0" xfId="0" applyFont="1" applyFill="1"/>
    <xf numFmtId="0" fontId="25" fillId="7" borderId="0" xfId="0" applyFont="1" applyFill="1"/>
    <xf numFmtId="0" fontId="2" fillId="9" borderId="1" xfId="0" applyFont="1" applyFill="1" applyBorder="1" applyAlignment="1">
      <alignment horizontal="left" vertical="center"/>
    </xf>
    <xf numFmtId="0" fontId="3" fillId="0" borderId="0" xfId="0" applyFont="1"/>
    <xf numFmtId="3" fontId="9" fillId="0" borderId="1" xfId="0" applyNumberFormat="1" applyFont="1" applyBorder="1"/>
    <xf numFmtId="2" fontId="9" fillId="9" borderId="1" xfId="0" applyNumberFormat="1" applyFont="1" applyFill="1" applyBorder="1"/>
    <xf numFmtId="9" fontId="9" fillId="9" borderId="1" xfId="0" applyNumberFormat="1" applyFont="1" applyFill="1" applyBorder="1"/>
    <xf numFmtId="0" fontId="2" fillId="10" borderId="1" xfId="0" applyFont="1" applyFill="1" applyBorder="1" applyAlignment="1">
      <alignment horizontal="left" vertical="center"/>
    </xf>
    <xf numFmtId="9" fontId="9" fillId="10" borderId="1" xfId="0" applyNumberFormat="1" applyFont="1" applyFill="1" applyBorder="1"/>
    <xf numFmtId="0" fontId="2" fillId="15" borderId="1" xfId="0" applyFont="1" applyFill="1" applyBorder="1" applyAlignment="1">
      <alignment horizontal="left" vertical="center"/>
    </xf>
    <xf numFmtId="2" fontId="9" fillId="15" borderId="1" xfId="0" applyNumberFormat="1" applyFont="1" applyFill="1" applyBorder="1"/>
    <xf numFmtId="9" fontId="9" fillId="15" borderId="1" xfId="0" applyNumberFormat="1" applyFont="1" applyFill="1" applyBorder="1"/>
    <xf numFmtId="0" fontId="11" fillId="3" borderId="4" xfId="0" applyFont="1" applyFill="1" applyBorder="1" applyAlignment="1">
      <alignment horizontal="left" vertical="center" wrapText="1"/>
    </xf>
    <xf numFmtId="0" fontId="7" fillId="0" borderId="5" xfId="0" applyFont="1" applyBorder="1"/>
    <xf numFmtId="0" fontId="5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7" fillId="0" borderId="14" xfId="0" applyFont="1" applyBorder="1"/>
    <xf numFmtId="0" fontId="6" fillId="3" borderId="13" xfId="0" applyFont="1" applyFill="1" applyBorder="1" applyAlignment="1">
      <alignment horizontal="left" vertical="center" wrapText="1"/>
    </xf>
    <xf numFmtId="0" fontId="7" fillId="0" borderId="15" xfId="0" applyFont="1" applyBorder="1"/>
    <xf numFmtId="4" fontId="17" fillId="0" borderId="0" xfId="0" applyNumberFormat="1" applyFont="1"/>
    <xf numFmtId="0" fontId="0" fillId="0" borderId="0" xfId="0"/>
    <xf numFmtId="39" fontId="1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533400</xdr:colOff>
      <xdr:row>3</xdr:row>
      <xdr:rowOff>190500</xdr:rowOff>
    </xdr:from>
    <xdr:ext cx="3648075" cy="16478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142875</xdr:colOff>
      <xdr:row>1</xdr:row>
      <xdr:rowOff>142875</xdr:rowOff>
    </xdr:from>
    <xdr:ext cx="7829550" cy="22764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8"/>
  <sheetViews>
    <sheetView showGridLines="0" topLeftCell="A3" workbookViewId="0"/>
  </sheetViews>
  <sheetFormatPr defaultColWidth="12.5703125" defaultRowHeight="15" customHeight="1"/>
  <cols>
    <col min="1" max="1" width="33.85546875" customWidth="1"/>
    <col min="2" max="3" width="32.42578125" customWidth="1"/>
  </cols>
  <sheetData>
    <row r="1" spans="1:3" ht="15.75" customHeight="1"/>
    <row r="2" spans="1:3" ht="23.25">
      <c r="A2" s="1" t="s">
        <v>0</v>
      </c>
    </row>
    <row r="3" spans="1:3" ht="15.75" customHeight="1">
      <c r="A3" s="2" t="s">
        <v>1</v>
      </c>
      <c r="B3" s="3" t="s">
        <v>2</v>
      </c>
      <c r="C3" s="4"/>
    </row>
    <row r="4" spans="1:3" ht="15.75" customHeight="1">
      <c r="A4" s="99" t="s">
        <v>3</v>
      </c>
      <c r="B4" s="100" t="s">
        <v>4</v>
      </c>
      <c r="C4" s="100" t="s">
        <v>5</v>
      </c>
    </row>
    <row r="5" spans="1:3" ht="15.75" customHeight="1">
      <c r="A5" s="98"/>
      <c r="B5" s="98"/>
      <c r="C5" s="98"/>
    </row>
    <row r="6" spans="1:3" ht="31.5">
      <c r="A6" s="5">
        <v>4562.88</v>
      </c>
      <c r="B6" s="6">
        <f>(A6*C6)/365</f>
        <v>1.8751561643835617</v>
      </c>
      <c r="C6" s="7">
        <v>0.15</v>
      </c>
    </row>
    <row r="7" spans="1:3" ht="15.75" customHeight="1">
      <c r="A7" s="8"/>
      <c r="B7" s="9"/>
      <c r="C7" s="10"/>
    </row>
    <row r="8" spans="1:3" ht="15.75" customHeight="1">
      <c r="A8" s="11"/>
      <c r="B8" s="97" t="s">
        <v>6</v>
      </c>
      <c r="C8" s="10"/>
    </row>
    <row r="9" spans="1:3" ht="15.75" customHeight="1">
      <c r="A9" s="12" t="s">
        <v>7</v>
      </c>
      <c r="B9" s="98"/>
      <c r="C9" s="10"/>
    </row>
    <row r="10" spans="1:3" ht="31.5">
      <c r="A10" s="13">
        <v>20</v>
      </c>
      <c r="B10" s="6">
        <f>A10*B6</f>
        <v>37.503123287671237</v>
      </c>
      <c r="C10" s="14"/>
    </row>
    <row r="11" spans="1:3" ht="15.75" customHeight="1"/>
    <row r="12" spans="1:3" ht="15.75" customHeight="1"/>
    <row r="13" spans="1:3" ht="15.75" customHeight="1">
      <c r="A13" s="15"/>
      <c r="B13" s="15"/>
      <c r="C13" s="15"/>
    </row>
    <row r="14" spans="1:3" ht="15.75" customHeight="1"/>
    <row r="15" spans="1:3" ht="23.25">
      <c r="A15" s="1" t="s">
        <v>8</v>
      </c>
    </row>
    <row r="16" spans="1:3" ht="15.75" customHeight="1">
      <c r="A16" s="16" t="s">
        <v>9</v>
      </c>
      <c r="B16" s="3" t="s">
        <v>2</v>
      </c>
      <c r="C16" s="4"/>
    </row>
    <row r="17" spans="1:3" ht="12.75" customHeight="1">
      <c r="A17" s="99" t="s">
        <v>3</v>
      </c>
      <c r="B17" s="100" t="s">
        <v>4</v>
      </c>
      <c r="C17" s="100" t="s">
        <v>5</v>
      </c>
    </row>
    <row r="18" spans="1:3" ht="12.75" customHeight="1">
      <c r="A18" s="98"/>
      <c r="B18" s="98"/>
      <c r="C18" s="98"/>
    </row>
    <row r="19" spans="1:3" ht="31.5">
      <c r="A19" s="5">
        <v>6501.04</v>
      </c>
      <c r="B19" s="17">
        <f>(A19*C19)/365</f>
        <v>4.4527671232876713</v>
      </c>
      <c r="C19" s="18">
        <v>0.25</v>
      </c>
    </row>
    <row r="20" spans="1:3" ht="15.75" customHeight="1">
      <c r="A20" s="8"/>
      <c r="B20" s="9"/>
      <c r="C20" s="10"/>
    </row>
    <row r="21" spans="1:3" ht="14.25" customHeight="1">
      <c r="A21" s="11"/>
      <c r="B21" s="97" t="s">
        <v>6</v>
      </c>
      <c r="C21" s="10"/>
    </row>
    <row r="22" spans="1:3" ht="15.75" customHeight="1">
      <c r="A22" s="12" t="s">
        <v>7</v>
      </c>
      <c r="B22" s="98"/>
      <c r="C22" s="10"/>
    </row>
    <row r="23" spans="1:3" ht="31.5">
      <c r="A23" s="13">
        <v>18</v>
      </c>
      <c r="B23" s="17">
        <f>A23*B19</f>
        <v>80.149808219178084</v>
      </c>
      <c r="C23" s="14"/>
    </row>
    <row r="24" spans="1:3" ht="15.75" customHeight="1"/>
    <row r="25" spans="1:3" ht="15.75" customHeight="1"/>
    <row r="26" spans="1:3" ht="15.75" customHeight="1">
      <c r="A26" s="15"/>
      <c r="B26" s="15"/>
      <c r="C26" s="15"/>
    </row>
    <row r="27" spans="1:3" ht="15.75" customHeight="1"/>
    <row r="28" spans="1:3" ht="15.75" customHeight="1"/>
  </sheetData>
  <mergeCells count="8">
    <mergeCell ref="B21:B22"/>
    <mergeCell ref="A4:A5"/>
    <mergeCell ref="B4:B5"/>
    <mergeCell ref="C4:C5"/>
    <mergeCell ref="B8:B9"/>
    <mergeCell ref="A17:A18"/>
    <mergeCell ref="B17:B18"/>
    <mergeCell ref="C17:C1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FB06-7D42-4788-BCAB-FA6003689A3A}">
  <dimension ref="A1:C17"/>
  <sheetViews>
    <sheetView workbookViewId="0">
      <selection activeCell="I17" sqref="I17"/>
    </sheetView>
  </sheetViews>
  <sheetFormatPr defaultRowHeight="12.75"/>
  <cols>
    <col min="1" max="1" width="26.28515625" bestFit="1" customWidth="1"/>
    <col min="2" max="2" width="11" bestFit="1" customWidth="1"/>
    <col min="3" max="3" width="10.42578125" bestFit="1" customWidth="1"/>
  </cols>
  <sheetData>
    <row r="1" spans="1:3">
      <c r="A1" t="s">
        <v>39</v>
      </c>
      <c r="B1" t="s">
        <v>40</v>
      </c>
      <c r="C1" t="s">
        <v>41</v>
      </c>
    </row>
    <row r="2" spans="1:3">
      <c r="A2" t="s">
        <v>42</v>
      </c>
      <c r="B2" t="s">
        <v>43</v>
      </c>
      <c r="C2" t="s">
        <v>44</v>
      </c>
    </row>
    <row r="3" spans="1:3">
      <c r="A3" t="s">
        <v>45</v>
      </c>
      <c r="B3" t="s">
        <v>46</v>
      </c>
      <c r="C3" t="s">
        <v>47</v>
      </c>
    </row>
    <row r="4" spans="1:3">
      <c r="A4" t="s">
        <v>48</v>
      </c>
      <c r="B4" t="s">
        <v>49</v>
      </c>
      <c r="C4" t="s">
        <v>47</v>
      </c>
    </row>
    <row r="5" spans="1:3">
      <c r="A5" t="s">
        <v>50</v>
      </c>
      <c r="B5" t="s">
        <v>51</v>
      </c>
      <c r="C5" t="s">
        <v>52</v>
      </c>
    </row>
    <row r="6" spans="1:3">
      <c r="A6" t="s">
        <v>53</v>
      </c>
      <c r="B6" t="s">
        <v>54</v>
      </c>
      <c r="C6" t="s">
        <v>52</v>
      </c>
    </row>
    <row r="7" spans="1:3">
      <c r="A7" t="s">
        <v>55</v>
      </c>
      <c r="B7" t="s">
        <v>56</v>
      </c>
      <c r="C7" t="s">
        <v>57</v>
      </c>
    </row>
    <row r="8" spans="1:3">
      <c r="A8" t="s">
        <v>58</v>
      </c>
      <c r="B8" t="s">
        <v>0</v>
      </c>
      <c r="C8" t="s">
        <v>44</v>
      </c>
    </row>
    <row r="9" spans="1:3">
      <c r="A9" t="s">
        <v>59</v>
      </c>
      <c r="B9" t="s">
        <v>60</v>
      </c>
      <c r="C9" t="s">
        <v>60</v>
      </c>
    </row>
    <row r="10" spans="1:3">
      <c r="A10" t="s">
        <v>61</v>
      </c>
      <c r="B10" t="s">
        <v>62</v>
      </c>
      <c r="C10" t="s">
        <v>62</v>
      </c>
    </row>
    <row r="14" spans="1:3">
      <c r="A14" t="s">
        <v>63</v>
      </c>
      <c r="B14" t="s">
        <v>46</v>
      </c>
      <c r="C14" t="s">
        <v>47</v>
      </c>
    </row>
    <row r="15" spans="1:3">
      <c r="A15" t="s">
        <v>64</v>
      </c>
      <c r="B15" t="s">
        <v>49</v>
      </c>
      <c r="C15" t="s">
        <v>47</v>
      </c>
    </row>
    <row r="16" spans="1:3">
      <c r="A16" t="s">
        <v>65</v>
      </c>
      <c r="B16" t="s">
        <v>51</v>
      </c>
      <c r="C16" t="s">
        <v>52</v>
      </c>
    </row>
    <row r="17" spans="1:3">
      <c r="A17" t="s">
        <v>66</v>
      </c>
      <c r="B17" t="s">
        <v>54</v>
      </c>
      <c r="C1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8"/>
  <sheetViews>
    <sheetView showGridLines="0" workbookViewId="0"/>
  </sheetViews>
  <sheetFormatPr defaultColWidth="12.5703125" defaultRowHeight="15" customHeight="1"/>
  <cols>
    <col min="1" max="1" width="36.42578125" customWidth="1"/>
    <col min="2" max="2" width="31" customWidth="1"/>
    <col min="3" max="3" width="28.7109375" customWidth="1"/>
  </cols>
  <sheetData>
    <row r="1" spans="1:3" ht="15.75" customHeight="1"/>
    <row r="2" spans="1:3" ht="23.25">
      <c r="A2" s="1" t="s">
        <v>10</v>
      </c>
    </row>
    <row r="3" spans="1:3" ht="18.75" customHeight="1">
      <c r="A3" s="19" t="s">
        <v>11</v>
      </c>
      <c r="B3" s="3" t="s">
        <v>2</v>
      </c>
      <c r="C3" s="4"/>
    </row>
    <row r="4" spans="1:3" ht="23.25" customHeight="1">
      <c r="A4" s="101" t="s">
        <v>3</v>
      </c>
      <c r="B4" s="100" t="s">
        <v>4</v>
      </c>
      <c r="C4" s="103" t="s">
        <v>5</v>
      </c>
    </row>
    <row r="5" spans="1:3" ht="23.25" customHeight="1">
      <c r="A5" s="102"/>
      <c r="B5" s="98"/>
      <c r="C5" s="104"/>
    </row>
    <row r="6" spans="1:3" ht="32.25" customHeight="1">
      <c r="A6" s="20"/>
      <c r="B6" s="21">
        <f>(A6*C6)/365</f>
        <v>0</v>
      </c>
      <c r="C6" s="22">
        <v>0.25</v>
      </c>
    </row>
    <row r="7" spans="1:3" ht="19.5" customHeight="1">
      <c r="A7" s="23"/>
      <c r="B7" s="9"/>
      <c r="C7" s="10"/>
    </row>
    <row r="8" spans="1:3" ht="12.75" customHeight="1">
      <c r="A8" s="24"/>
      <c r="B8" s="97" t="s">
        <v>6</v>
      </c>
      <c r="C8" s="4"/>
    </row>
    <row r="9" spans="1:3" ht="15.75" customHeight="1">
      <c r="A9" s="12" t="s">
        <v>7</v>
      </c>
      <c r="B9" s="98"/>
      <c r="C9" s="10"/>
    </row>
    <row r="10" spans="1:3" ht="35.25" customHeight="1">
      <c r="A10" s="13"/>
      <c r="B10" s="25">
        <f>A10*B6</f>
        <v>0</v>
      </c>
      <c r="C10" s="14"/>
    </row>
    <row r="11" spans="1:3" ht="15.75" customHeight="1"/>
    <row r="12" spans="1:3" ht="15.75" customHeight="1"/>
    <row r="13" spans="1:3" ht="15.75" customHeight="1">
      <c r="A13" s="15"/>
      <c r="B13" s="15"/>
      <c r="C13" s="15"/>
    </row>
    <row r="14" spans="1:3" ht="15.75" customHeight="1"/>
    <row r="15" spans="1:3" ht="23.25">
      <c r="A15" s="1" t="s">
        <v>12</v>
      </c>
    </row>
    <row r="16" spans="1:3" ht="14.25" customHeight="1">
      <c r="A16" s="19" t="s">
        <v>13</v>
      </c>
      <c r="B16" s="3" t="s">
        <v>2</v>
      </c>
      <c r="C16" s="4"/>
    </row>
    <row r="17" spans="1:3" ht="12.75" customHeight="1">
      <c r="A17" s="101" t="s">
        <v>3</v>
      </c>
      <c r="B17" s="100" t="s">
        <v>4</v>
      </c>
      <c r="C17" s="103" t="s">
        <v>5</v>
      </c>
    </row>
    <row r="18" spans="1:3" ht="15.75" customHeight="1">
      <c r="A18" s="102"/>
      <c r="B18" s="98"/>
      <c r="C18" s="104"/>
    </row>
    <row r="19" spans="1:3" ht="29.25" customHeight="1">
      <c r="A19" s="20">
        <v>6486.89</v>
      </c>
      <c r="B19" s="21">
        <f>(A19*C19)/365</f>
        <v>5.8648594520547954</v>
      </c>
      <c r="C19" s="22">
        <v>0.33</v>
      </c>
    </row>
    <row r="20" spans="1:3" ht="15.75" customHeight="1">
      <c r="A20" s="23"/>
      <c r="B20" s="9"/>
      <c r="C20" s="10"/>
    </row>
    <row r="21" spans="1:3" ht="12.75" customHeight="1">
      <c r="A21" s="24"/>
      <c r="B21" s="97" t="s">
        <v>6</v>
      </c>
      <c r="C21" s="4"/>
    </row>
    <row r="22" spans="1:3" ht="15.75" customHeight="1">
      <c r="A22" s="12" t="s">
        <v>7</v>
      </c>
      <c r="B22" s="98"/>
      <c r="C22" s="10"/>
    </row>
    <row r="23" spans="1:3" ht="31.5">
      <c r="A23" s="13"/>
      <c r="B23" s="25">
        <f>A23*B19</f>
        <v>0</v>
      </c>
      <c r="C23" s="14"/>
    </row>
    <row r="24" spans="1:3" ht="15.75" customHeight="1"/>
    <row r="25" spans="1:3" ht="15.75" customHeight="1"/>
    <row r="26" spans="1:3" ht="15.75" customHeight="1">
      <c r="A26" s="15"/>
      <c r="B26" s="15"/>
      <c r="C26" s="15"/>
    </row>
    <row r="27" spans="1:3" ht="15.75" customHeight="1"/>
    <row r="28" spans="1:3" ht="15.75" customHeight="1"/>
  </sheetData>
  <mergeCells count="8">
    <mergeCell ref="B21:B22"/>
    <mergeCell ref="A4:A5"/>
    <mergeCell ref="B4:B5"/>
    <mergeCell ref="C4:C5"/>
    <mergeCell ref="B8:B9"/>
    <mergeCell ref="A17:A18"/>
    <mergeCell ref="B17:B18"/>
    <mergeCell ref="C17:C1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6"/>
  <sheetViews>
    <sheetView workbookViewId="0"/>
  </sheetViews>
  <sheetFormatPr defaultColWidth="12.5703125" defaultRowHeight="15" customHeight="1"/>
  <sheetData>
    <row r="1" spans="1:4">
      <c r="A1" s="26" t="s">
        <v>14</v>
      </c>
      <c r="B1" s="26" t="s">
        <v>15</v>
      </c>
      <c r="C1" s="26" t="s">
        <v>16</v>
      </c>
      <c r="D1" s="26" t="s">
        <v>17</v>
      </c>
    </row>
    <row r="2" spans="1:4">
      <c r="A2" s="27" t="s">
        <v>18</v>
      </c>
      <c r="B2" s="28">
        <v>0.5</v>
      </c>
      <c r="C2" s="28">
        <v>0.35</v>
      </c>
      <c r="D2" s="29" t="s">
        <v>19</v>
      </c>
    </row>
    <row r="3" spans="1:4">
      <c r="A3" s="27" t="s">
        <v>20</v>
      </c>
      <c r="B3" s="28">
        <v>0.5</v>
      </c>
      <c r="C3" s="28">
        <v>0.35</v>
      </c>
      <c r="D3" s="28">
        <v>0.2</v>
      </c>
    </row>
    <row r="4" spans="1:4">
      <c r="A4" s="27" t="s">
        <v>21</v>
      </c>
      <c r="B4" s="28">
        <v>0.5</v>
      </c>
      <c r="C4" s="28">
        <v>0.3</v>
      </c>
      <c r="D4" s="28">
        <v>0.15</v>
      </c>
    </row>
    <row r="5" spans="1:4">
      <c r="A5" s="27" t="s">
        <v>22</v>
      </c>
      <c r="B5" s="28">
        <v>0.5</v>
      </c>
      <c r="C5" s="28">
        <v>0.3</v>
      </c>
      <c r="D5" s="28">
        <v>0.15</v>
      </c>
    </row>
    <row r="6" spans="1:4">
      <c r="A6" s="27" t="s">
        <v>23</v>
      </c>
      <c r="B6" s="28">
        <v>0.5</v>
      </c>
      <c r="C6" s="28">
        <v>0.3</v>
      </c>
      <c r="D6" s="28">
        <v>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20"/>
  <sheetViews>
    <sheetView showGridLines="0" workbookViewId="0"/>
  </sheetViews>
  <sheetFormatPr defaultColWidth="12.5703125" defaultRowHeight="15" customHeight="1"/>
  <cols>
    <col min="1" max="1" width="30.42578125" customWidth="1"/>
    <col min="2" max="2" width="12.7109375" customWidth="1"/>
    <col min="3" max="3" width="23.28515625" customWidth="1"/>
    <col min="4" max="4" width="6.7109375" customWidth="1"/>
    <col min="5" max="5" width="10.7109375" customWidth="1"/>
    <col min="6" max="6" width="18.7109375" customWidth="1"/>
    <col min="7" max="7" width="7" customWidth="1"/>
  </cols>
  <sheetData>
    <row r="1" spans="1:11" ht="12.75">
      <c r="A1" s="9"/>
      <c r="B1" s="9"/>
      <c r="C1" s="9"/>
      <c r="D1" s="9"/>
      <c r="E1" s="9"/>
      <c r="F1" s="9"/>
      <c r="G1" s="9"/>
      <c r="H1" s="9"/>
      <c r="I1" s="30"/>
      <c r="J1" s="9"/>
      <c r="K1" s="9"/>
    </row>
    <row r="2" spans="1:11" ht="14.25">
      <c r="A2" s="31">
        <v>12198.97</v>
      </c>
      <c r="B2" s="15"/>
      <c r="C2" s="32">
        <v>8304.1200000000008</v>
      </c>
      <c r="D2" s="15"/>
      <c r="E2" s="15"/>
      <c r="F2" s="15"/>
      <c r="G2" s="33"/>
      <c r="H2" s="9"/>
      <c r="I2" s="34"/>
      <c r="J2" s="9"/>
      <c r="K2" s="9"/>
    </row>
    <row r="3" spans="1:11" ht="23.25">
      <c r="A3" s="35" t="s">
        <v>24</v>
      </c>
      <c r="B3" s="36"/>
      <c r="C3" s="37">
        <v>25936.33</v>
      </c>
      <c r="D3" s="36"/>
      <c r="E3" s="36"/>
      <c r="F3" s="38"/>
      <c r="G3" s="39"/>
      <c r="H3" s="40"/>
      <c r="I3" s="41"/>
      <c r="J3" s="41"/>
      <c r="K3" s="41"/>
    </row>
    <row r="4" spans="1:11" ht="23.25">
      <c r="A4" s="35"/>
      <c r="B4" s="42"/>
      <c r="C4" s="43"/>
      <c r="D4" s="15"/>
      <c r="E4" s="42"/>
      <c r="F4" s="36" t="s">
        <v>25</v>
      </c>
      <c r="G4" s="44"/>
      <c r="H4" s="40"/>
      <c r="I4" s="41"/>
      <c r="J4" s="41"/>
      <c r="K4" s="41"/>
    </row>
    <row r="5" spans="1:11" ht="30">
      <c r="A5" s="45" t="s">
        <v>15</v>
      </c>
      <c r="B5" s="46">
        <v>0.5</v>
      </c>
      <c r="C5" s="47">
        <f>IF(C3&gt;$H$3,ROUNDUP(C3*$B5,-2),C3)</f>
        <v>13000</v>
      </c>
      <c r="D5" s="48"/>
      <c r="E5" s="49"/>
      <c r="F5" s="47"/>
      <c r="G5" s="33"/>
      <c r="H5" s="40"/>
      <c r="I5" s="41"/>
      <c r="J5" s="41"/>
      <c r="K5" s="41"/>
    </row>
    <row r="6" spans="1:11" ht="30">
      <c r="A6" s="15"/>
      <c r="B6" s="15"/>
      <c r="C6" s="50"/>
      <c r="D6" s="50"/>
      <c r="E6" s="50"/>
      <c r="F6" s="51"/>
      <c r="G6" s="33" t="s">
        <v>19</v>
      </c>
      <c r="H6" s="40"/>
      <c r="I6" s="41"/>
      <c r="J6" s="41"/>
      <c r="K6" s="41"/>
    </row>
    <row r="7" spans="1:11" ht="30">
      <c r="A7" s="52" t="s">
        <v>16</v>
      </c>
      <c r="B7" s="46">
        <v>0.35</v>
      </c>
      <c r="C7" s="47">
        <f>IF($C3&gt;$H$3,ROUNDUP($C3*$B7,-2),C3)</f>
        <v>9100</v>
      </c>
      <c r="D7" s="48"/>
      <c r="E7" s="53">
        <v>0.3</v>
      </c>
      <c r="F7" s="51">
        <f>IF($C3&gt;$H$3,ROUNDUP($C3*$E7,-2),"")</f>
        <v>7800</v>
      </c>
      <c r="G7" s="33"/>
      <c r="H7" s="40"/>
      <c r="I7" s="41"/>
      <c r="J7" s="41"/>
      <c r="K7" s="41"/>
    </row>
    <row r="8" spans="1:11" ht="30">
      <c r="A8" s="15"/>
      <c r="B8" s="15"/>
      <c r="C8" s="50"/>
      <c r="D8" s="50"/>
      <c r="E8" s="50"/>
      <c r="F8" s="51"/>
      <c r="G8" s="15"/>
      <c r="H8" s="9"/>
      <c r="I8" s="30"/>
      <c r="J8" s="9"/>
      <c r="K8" s="9"/>
    </row>
    <row r="9" spans="1:11" ht="30">
      <c r="A9" s="54" t="s">
        <v>17</v>
      </c>
      <c r="B9" s="46">
        <v>0.2</v>
      </c>
      <c r="C9" s="47">
        <f>IF($C3&gt;$H$3,ROUNDUP($C3*$B9,-2),C3)</f>
        <v>5200</v>
      </c>
      <c r="D9" s="48"/>
      <c r="E9" s="53">
        <v>0.15</v>
      </c>
      <c r="F9" s="51">
        <f>IF($C3&gt;$H$3,ROUNDUP($C3*$E9,-2),"")</f>
        <v>3900</v>
      </c>
      <c r="G9" s="15"/>
      <c r="H9" s="9"/>
      <c r="I9" s="55"/>
      <c r="J9" s="55"/>
      <c r="K9" s="55"/>
    </row>
    <row r="10" spans="1:11" ht="12.75">
      <c r="A10" s="15"/>
      <c r="B10" s="15"/>
      <c r="C10" s="15"/>
      <c r="D10" s="15"/>
      <c r="E10" s="15"/>
      <c r="F10" s="15"/>
      <c r="G10" s="15"/>
      <c r="H10" s="9"/>
      <c r="I10" s="30"/>
      <c r="J10" s="9"/>
      <c r="K10" s="9"/>
    </row>
    <row r="11" spans="1:11" ht="30">
      <c r="A11" s="15"/>
      <c r="B11" s="15"/>
      <c r="C11" s="15"/>
      <c r="D11" s="15"/>
      <c r="E11" s="53"/>
      <c r="F11" s="51"/>
      <c r="G11" s="15"/>
      <c r="H11" s="9"/>
      <c r="I11" s="30"/>
      <c r="J11" s="9"/>
      <c r="K11" s="9"/>
    </row>
    <row r="12" spans="1:11" ht="31.5" customHeight="1">
      <c r="A12" s="56"/>
      <c r="B12" s="15"/>
      <c r="C12" s="15">
        <v>1000</v>
      </c>
      <c r="D12" s="15"/>
      <c r="E12" s="15"/>
      <c r="F12" s="15"/>
      <c r="G12" s="15"/>
      <c r="H12" s="57" t="s">
        <v>26</v>
      </c>
      <c r="I12" s="57"/>
      <c r="J12" s="57"/>
      <c r="K12" s="57"/>
    </row>
    <row r="13" spans="1:11" ht="14.25">
      <c r="A13" s="58" t="s">
        <v>27</v>
      </c>
      <c r="B13" s="15"/>
      <c r="C13" s="15"/>
      <c r="D13" s="15"/>
      <c r="E13" s="15"/>
      <c r="F13" s="15"/>
      <c r="G13" s="15"/>
      <c r="H13" s="9"/>
      <c r="I13" s="30"/>
      <c r="J13" s="9"/>
      <c r="K13" s="9"/>
    </row>
    <row r="14" spans="1:11" ht="12.75">
      <c r="A14" s="15" t="s">
        <v>28</v>
      </c>
      <c r="B14" s="15"/>
      <c r="C14" s="15"/>
      <c r="D14" s="15"/>
      <c r="E14" s="15"/>
      <c r="F14" s="15"/>
      <c r="G14" s="15"/>
      <c r="H14" s="9"/>
      <c r="I14" s="30"/>
      <c r="J14" s="9"/>
      <c r="K14" s="9"/>
    </row>
    <row r="15" spans="1:11" ht="12.75">
      <c r="A15" s="15"/>
      <c r="B15" s="15"/>
      <c r="C15" s="15"/>
      <c r="D15" s="15"/>
      <c r="E15" s="15"/>
      <c r="F15" s="15"/>
      <c r="G15" s="15"/>
      <c r="H15" s="9"/>
      <c r="I15" s="30"/>
      <c r="J15" s="9"/>
      <c r="K15" s="9"/>
    </row>
    <row r="16" spans="1:11" ht="12.75">
      <c r="A16" s="9"/>
      <c r="B16" s="9"/>
      <c r="C16" s="9"/>
      <c r="D16" s="9"/>
      <c r="E16" s="9"/>
      <c r="F16" s="9"/>
      <c r="G16" s="9"/>
      <c r="H16" s="9"/>
      <c r="I16" s="30"/>
      <c r="J16" s="9"/>
      <c r="K16" s="9"/>
    </row>
    <row r="17" spans="1:11" ht="12.75">
      <c r="A17" s="9"/>
      <c r="B17" s="9"/>
      <c r="C17" s="9"/>
      <c r="D17" s="9"/>
      <c r="E17" s="9"/>
      <c r="F17" s="9"/>
      <c r="G17" s="9"/>
      <c r="H17" s="9"/>
      <c r="I17" s="30"/>
      <c r="J17" s="9"/>
      <c r="K17" s="9"/>
    </row>
    <row r="18" spans="1:11" ht="14.25">
      <c r="A18" s="31">
        <v>12198.97</v>
      </c>
      <c r="B18" s="15"/>
      <c r="C18" s="32">
        <v>8304.1200000000008</v>
      </c>
      <c r="D18" s="15"/>
      <c r="E18" s="15"/>
      <c r="F18" s="15"/>
      <c r="G18" s="15"/>
      <c r="H18" s="9"/>
      <c r="I18" s="30"/>
      <c r="J18" s="9"/>
      <c r="K18" s="9"/>
    </row>
    <row r="19" spans="1:11" ht="23.25">
      <c r="A19" s="35" t="s">
        <v>24</v>
      </c>
      <c r="B19" s="36"/>
      <c r="C19" s="37">
        <v>27863.63</v>
      </c>
      <c r="D19" s="36"/>
      <c r="E19" s="36"/>
      <c r="F19" s="38"/>
      <c r="G19" s="59"/>
      <c r="H19" s="9"/>
      <c r="I19" s="30"/>
      <c r="J19" s="9"/>
      <c r="K19" s="9"/>
    </row>
    <row r="20" spans="1:11" ht="23.25">
      <c r="A20" s="35"/>
      <c r="B20" s="42"/>
      <c r="C20" s="60"/>
      <c r="D20" s="15"/>
      <c r="E20" s="42"/>
      <c r="F20" s="36" t="s">
        <v>25</v>
      </c>
      <c r="G20" s="61"/>
      <c r="H20" s="9"/>
      <c r="I20" s="30"/>
      <c r="J20" s="9"/>
      <c r="K20" s="9"/>
    </row>
    <row r="21" spans="1:11" ht="30">
      <c r="A21" s="45" t="s">
        <v>15</v>
      </c>
      <c r="B21" s="46">
        <v>0.5</v>
      </c>
      <c r="C21" s="47">
        <f>IF(C19&gt;$H$3,ROUNDUP(C19*$B21,-2),C19)</f>
        <v>14000</v>
      </c>
      <c r="D21" s="48"/>
      <c r="E21" s="49"/>
      <c r="F21" s="47"/>
      <c r="G21" s="15"/>
      <c r="H21" s="9"/>
      <c r="I21" s="30"/>
      <c r="J21" s="9"/>
      <c r="K21" s="9"/>
    </row>
    <row r="22" spans="1:11" ht="30">
      <c r="A22" s="15"/>
      <c r="B22" s="15"/>
      <c r="C22" s="50"/>
      <c r="D22" s="50"/>
      <c r="E22" s="50"/>
      <c r="F22" s="51"/>
      <c r="G22" s="15" t="s">
        <v>19</v>
      </c>
      <c r="H22" s="9"/>
      <c r="I22" s="30"/>
      <c r="J22" s="9"/>
      <c r="K22" s="9"/>
    </row>
    <row r="23" spans="1:11" ht="30">
      <c r="A23" s="52" t="s">
        <v>16</v>
      </c>
      <c r="B23" s="46">
        <v>0.35</v>
      </c>
      <c r="C23" s="47">
        <f>IF($C19&gt;$H$3,ROUNDUP($C19*$B23,-2),C19)</f>
        <v>9800</v>
      </c>
      <c r="D23" s="48"/>
      <c r="E23" s="53">
        <v>0.3</v>
      </c>
      <c r="F23" s="51">
        <f>IF($C19&gt;$H$3,ROUNDUP($C19*$E23,-2),"")</f>
        <v>8400</v>
      </c>
      <c r="G23" s="15"/>
      <c r="H23" s="9"/>
      <c r="I23" s="30"/>
      <c r="J23" s="9"/>
      <c r="K23" s="9"/>
    </row>
    <row r="24" spans="1:11" ht="30">
      <c r="A24" s="15"/>
      <c r="B24" s="15"/>
      <c r="C24" s="50"/>
      <c r="D24" s="50"/>
      <c r="E24" s="50"/>
      <c r="F24" s="51"/>
      <c r="G24" s="15"/>
      <c r="H24" s="9"/>
      <c r="I24" s="30"/>
      <c r="J24" s="9"/>
      <c r="K24" s="9"/>
    </row>
    <row r="25" spans="1:11" ht="30">
      <c r="A25" s="54" t="s">
        <v>17</v>
      </c>
      <c r="B25" s="46">
        <v>0.2</v>
      </c>
      <c r="C25" s="47">
        <f>IF($C19&gt;$H$3,ROUNDUP($C19*$B25,-2),C19)</f>
        <v>5600</v>
      </c>
      <c r="D25" s="48"/>
      <c r="E25" s="53">
        <v>0.15</v>
      </c>
      <c r="F25" s="51">
        <f>IF($C19&gt;$H$3,ROUNDUP($C19*$E25,-2),"")</f>
        <v>4200</v>
      </c>
      <c r="G25" s="15"/>
      <c r="H25" s="9"/>
      <c r="I25" s="30"/>
      <c r="J25" s="9"/>
      <c r="K25" s="9"/>
    </row>
    <row r="26" spans="1:11" ht="12.75">
      <c r="A26" s="15"/>
      <c r="B26" s="15"/>
      <c r="C26" s="15"/>
      <c r="D26" s="15"/>
      <c r="E26" s="15"/>
      <c r="F26" s="15"/>
      <c r="G26" s="15"/>
      <c r="H26" s="9"/>
      <c r="I26" s="30"/>
      <c r="J26" s="9"/>
      <c r="K26" s="9"/>
    </row>
    <row r="27" spans="1:11" ht="30">
      <c r="A27" s="56"/>
      <c r="B27" s="15"/>
      <c r="C27" s="15">
        <v>1000</v>
      </c>
      <c r="D27" s="15"/>
      <c r="E27" s="53"/>
      <c r="F27" s="51"/>
      <c r="G27" s="15"/>
      <c r="H27" s="9"/>
      <c r="I27" s="30"/>
      <c r="J27" s="9"/>
      <c r="K27" s="9"/>
    </row>
    <row r="28" spans="1:11" ht="14.25">
      <c r="A28" s="58" t="s">
        <v>27</v>
      </c>
      <c r="B28" s="15"/>
      <c r="C28" s="15"/>
      <c r="D28" s="15"/>
      <c r="E28" s="15"/>
      <c r="F28" s="15"/>
      <c r="G28" s="15"/>
      <c r="H28" s="9"/>
      <c r="I28" s="30"/>
      <c r="J28" s="9"/>
      <c r="K28" s="9"/>
    </row>
    <row r="29" spans="1:11" ht="12.75">
      <c r="A29" s="15" t="s">
        <v>28</v>
      </c>
      <c r="B29" s="15"/>
      <c r="C29" s="15"/>
      <c r="D29" s="15"/>
      <c r="E29" s="15"/>
      <c r="F29" s="15"/>
      <c r="G29" s="15"/>
      <c r="H29" s="9"/>
      <c r="I29" s="30"/>
      <c r="J29" s="9"/>
      <c r="K29" s="9"/>
    </row>
    <row r="30" spans="1:11" ht="12.75">
      <c r="A30" s="15"/>
      <c r="B30" s="15"/>
      <c r="C30" s="15"/>
      <c r="D30" s="15"/>
      <c r="E30" s="15"/>
      <c r="F30" s="15"/>
      <c r="G30" s="15"/>
      <c r="H30" s="9"/>
      <c r="I30" s="30"/>
      <c r="J30" s="9"/>
      <c r="K30" s="9"/>
    </row>
    <row r="31" spans="1:11" ht="12.75">
      <c r="A31" s="9"/>
      <c r="B31" s="9"/>
      <c r="C31" s="9"/>
      <c r="D31" s="9"/>
      <c r="E31" s="9"/>
      <c r="F31" s="9"/>
      <c r="G31" s="9"/>
      <c r="H31" s="9"/>
      <c r="I31" s="30"/>
      <c r="J31" s="9"/>
      <c r="K31" s="9"/>
    </row>
    <row r="32" spans="1:11" ht="12.75">
      <c r="A32" s="9"/>
      <c r="B32" s="9"/>
      <c r="C32" s="9"/>
      <c r="D32" s="9"/>
      <c r="E32" s="9"/>
      <c r="F32" s="9"/>
      <c r="G32" s="9"/>
      <c r="H32" s="9"/>
      <c r="I32" s="30"/>
      <c r="J32" s="9"/>
      <c r="K32" s="9"/>
    </row>
    <row r="33" spans="1:11" ht="14.25">
      <c r="A33" s="31">
        <v>12198.97</v>
      </c>
      <c r="B33" s="15"/>
      <c r="C33" s="32">
        <v>8304.1200000000008</v>
      </c>
      <c r="D33" s="15"/>
      <c r="E33" s="15"/>
      <c r="F33" s="15"/>
      <c r="G33" s="15"/>
      <c r="H33" s="9"/>
      <c r="I33" s="30"/>
      <c r="J33" s="9"/>
      <c r="K33" s="9"/>
    </row>
    <row r="34" spans="1:11" ht="23.25">
      <c r="A34" s="35" t="s">
        <v>24</v>
      </c>
      <c r="B34" s="36"/>
      <c r="C34" s="37"/>
      <c r="D34" s="36"/>
      <c r="E34" s="36"/>
      <c r="F34" s="38"/>
      <c r="G34" s="59"/>
      <c r="H34" s="9"/>
      <c r="I34" s="30"/>
      <c r="J34" s="9"/>
      <c r="K34" s="9"/>
    </row>
    <row r="35" spans="1:11" ht="23.25">
      <c r="A35" s="35"/>
      <c r="B35" s="42"/>
      <c r="C35" s="60"/>
      <c r="D35" s="15"/>
      <c r="E35" s="42"/>
      <c r="F35" s="36" t="s">
        <v>25</v>
      </c>
      <c r="G35" s="61"/>
      <c r="H35" s="9"/>
      <c r="I35" s="30"/>
      <c r="J35" s="9"/>
      <c r="K35" s="9"/>
    </row>
    <row r="36" spans="1:11" ht="30">
      <c r="A36" s="45" t="s">
        <v>15</v>
      </c>
      <c r="B36" s="46">
        <v>0.5</v>
      </c>
      <c r="C36" s="47">
        <f>IF(C34&gt;$H$3,ROUNDUP(C34*$B36,-2),C34)</f>
        <v>0</v>
      </c>
      <c r="D36" s="48"/>
      <c r="E36" s="49"/>
      <c r="F36" s="47"/>
      <c r="G36" s="15"/>
      <c r="H36" s="9"/>
      <c r="I36" s="30"/>
      <c r="J36" s="9"/>
      <c r="K36" s="9"/>
    </row>
    <row r="37" spans="1:11" ht="30">
      <c r="A37" s="15"/>
      <c r="B37" s="15"/>
      <c r="C37" s="50"/>
      <c r="D37" s="50"/>
      <c r="E37" s="50"/>
      <c r="F37" s="51"/>
      <c r="G37" s="15" t="s">
        <v>19</v>
      </c>
      <c r="H37" s="9"/>
      <c r="I37" s="30"/>
      <c r="J37" s="9"/>
      <c r="K37" s="9"/>
    </row>
    <row r="38" spans="1:11" ht="30">
      <c r="A38" s="52" t="s">
        <v>16</v>
      </c>
      <c r="B38" s="46">
        <v>0.35</v>
      </c>
      <c r="C38" s="47">
        <f>IF($C34&gt;$H$3,ROUNDUP($C34*$B38,-2),C34)</f>
        <v>0</v>
      </c>
      <c r="D38" s="48"/>
      <c r="E38" s="53">
        <v>0.3</v>
      </c>
      <c r="F38" s="51" t="str">
        <f>IF($C34&gt;$H$3,ROUNDUP($C34*$E38,-2),"")</f>
        <v/>
      </c>
      <c r="G38" s="15"/>
      <c r="H38" s="9"/>
      <c r="I38" s="30"/>
      <c r="J38" s="9"/>
      <c r="K38" s="9"/>
    </row>
    <row r="39" spans="1:11" ht="30">
      <c r="A39" s="15"/>
      <c r="B39" s="15"/>
      <c r="C39" s="50"/>
      <c r="D39" s="50"/>
      <c r="E39" s="50"/>
      <c r="F39" s="51"/>
      <c r="G39" s="15"/>
      <c r="H39" s="9"/>
      <c r="I39" s="30"/>
      <c r="J39" s="9"/>
      <c r="K39" s="9"/>
    </row>
    <row r="40" spans="1:11" ht="30">
      <c r="A40" s="54" t="s">
        <v>17</v>
      </c>
      <c r="B40" s="46">
        <v>0.2</v>
      </c>
      <c r="C40" s="47">
        <f>IF($C34&gt;$H$3,ROUNDUP($C34*$B40,-2),C34)</f>
        <v>0</v>
      </c>
      <c r="D40" s="48"/>
      <c r="E40" s="53">
        <v>0.15</v>
      </c>
      <c r="F40" s="51" t="str">
        <f>IF($C34&gt;$H$3,ROUNDUP($C34*$E40,-2),"")</f>
        <v/>
      </c>
      <c r="G40" s="15"/>
      <c r="H40" s="9"/>
      <c r="I40" s="30"/>
      <c r="J40" s="9"/>
      <c r="K40" s="9"/>
    </row>
    <row r="41" spans="1:11" ht="12.75">
      <c r="A41" s="15"/>
      <c r="B41" s="15"/>
      <c r="C41" s="15"/>
      <c r="D41" s="15"/>
      <c r="E41" s="15"/>
      <c r="F41" s="15"/>
      <c r="G41" s="15"/>
      <c r="H41" s="9"/>
      <c r="I41" s="30"/>
      <c r="J41" s="9"/>
      <c r="K41" s="9"/>
    </row>
    <row r="42" spans="1:11" ht="12.75">
      <c r="A42" s="56"/>
      <c r="B42" s="15"/>
      <c r="C42" s="15">
        <v>1000</v>
      </c>
      <c r="D42" s="15"/>
      <c r="E42" s="15"/>
      <c r="F42" s="15"/>
      <c r="G42" s="15"/>
      <c r="H42" s="9"/>
      <c r="I42" s="30"/>
      <c r="J42" s="9"/>
      <c r="K42" s="9"/>
    </row>
    <row r="43" spans="1:11" ht="14.25">
      <c r="A43" s="58" t="s">
        <v>27</v>
      </c>
      <c r="B43" s="15"/>
      <c r="C43" s="15"/>
      <c r="D43" s="15"/>
      <c r="E43" s="15"/>
      <c r="F43" s="15"/>
      <c r="G43" s="15"/>
      <c r="H43" s="9"/>
      <c r="I43" s="30"/>
      <c r="J43" s="9"/>
      <c r="K43" s="9"/>
    </row>
    <row r="44" spans="1:11" ht="12.75">
      <c r="A44" s="15" t="s">
        <v>28</v>
      </c>
      <c r="B44" s="15"/>
      <c r="C44" s="15"/>
      <c r="D44" s="15"/>
      <c r="E44" s="15"/>
      <c r="F44" s="15"/>
      <c r="G44" s="15"/>
      <c r="H44" s="9"/>
      <c r="I44" s="30"/>
      <c r="J44" s="9"/>
      <c r="K44" s="9"/>
    </row>
    <row r="45" spans="1:11" ht="12.75">
      <c r="A45" s="15"/>
      <c r="B45" s="15"/>
      <c r="C45" s="15"/>
      <c r="D45" s="15"/>
      <c r="E45" s="15"/>
      <c r="F45" s="15"/>
      <c r="G45" s="15"/>
      <c r="H45" s="9"/>
      <c r="I45" s="30"/>
      <c r="J45" s="9"/>
      <c r="K45" s="9"/>
    </row>
    <row r="46" spans="1:11" ht="12.75">
      <c r="A46" s="9"/>
      <c r="B46" s="9"/>
      <c r="C46" s="9"/>
      <c r="D46" s="9"/>
      <c r="E46" s="9"/>
      <c r="F46" s="9"/>
      <c r="G46" s="9"/>
      <c r="H46" s="9"/>
      <c r="I46" s="30"/>
      <c r="J46" s="9"/>
      <c r="K46" s="9"/>
    </row>
    <row r="47" spans="1:11" ht="12.75">
      <c r="A47" s="9"/>
      <c r="B47" s="9"/>
      <c r="C47" s="9"/>
      <c r="D47" s="9"/>
      <c r="E47" s="9"/>
      <c r="F47" s="9"/>
      <c r="G47" s="9"/>
      <c r="H47" s="9"/>
      <c r="I47" s="30"/>
      <c r="J47" s="9"/>
      <c r="K47" s="9"/>
    </row>
    <row r="48" spans="1:11" ht="14.25">
      <c r="A48" s="31">
        <v>12198.97</v>
      </c>
      <c r="B48" s="15"/>
      <c r="C48" s="32">
        <v>8304.1200000000008</v>
      </c>
      <c r="D48" s="15"/>
      <c r="E48" s="15"/>
      <c r="F48" s="15"/>
      <c r="G48" s="15"/>
      <c r="H48" s="9"/>
      <c r="I48" s="30"/>
      <c r="J48" s="9"/>
      <c r="K48" s="9"/>
    </row>
    <row r="49" spans="1:11" ht="23.25">
      <c r="A49" s="35" t="s">
        <v>24</v>
      </c>
      <c r="B49" s="36"/>
      <c r="C49" s="37"/>
      <c r="D49" s="36"/>
      <c r="E49" s="36"/>
      <c r="F49" s="38"/>
      <c r="G49" s="59"/>
      <c r="H49" s="9"/>
      <c r="I49" s="30"/>
      <c r="J49" s="9"/>
      <c r="K49" s="9"/>
    </row>
    <row r="50" spans="1:11" ht="23.25">
      <c r="A50" s="35"/>
      <c r="B50" s="42"/>
      <c r="C50" s="60"/>
      <c r="D50" s="15"/>
      <c r="E50" s="42"/>
      <c r="F50" s="36" t="s">
        <v>25</v>
      </c>
      <c r="G50" s="61"/>
      <c r="H50" s="9"/>
      <c r="I50" s="30"/>
      <c r="J50" s="9"/>
      <c r="K50" s="9"/>
    </row>
    <row r="51" spans="1:11" ht="30">
      <c r="A51" s="45" t="s">
        <v>15</v>
      </c>
      <c r="B51" s="46">
        <v>0.5</v>
      </c>
      <c r="C51" s="47">
        <f>IF(C49&gt;$H$3,ROUNDUP(C49*$B51,-2),C49)</f>
        <v>0</v>
      </c>
      <c r="D51" s="48"/>
      <c r="E51" s="49"/>
      <c r="F51" s="47"/>
      <c r="G51" s="15"/>
      <c r="H51" s="9"/>
      <c r="I51" s="30"/>
      <c r="J51" s="9"/>
      <c r="K51" s="9"/>
    </row>
    <row r="52" spans="1:11" ht="30">
      <c r="A52" s="15"/>
      <c r="B52" s="15"/>
      <c r="C52" s="50"/>
      <c r="D52" s="50"/>
      <c r="E52" s="50"/>
      <c r="F52" s="51"/>
      <c r="G52" s="15" t="s">
        <v>19</v>
      </c>
      <c r="H52" s="9"/>
      <c r="I52" s="30"/>
      <c r="J52" s="9"/>
      <c r="K52" s="9"/>
    </row>
    <row r="53" spans="1:11" ht="30">
      <c r="A53" s="52" t="s">
        <v>16</v>
      </c>
      <c r="B53" s="46">
        <v>0.35</v>
      </c>
      <c r="C53" s="47">
        <f>IF($C49&gt;$H$3,ROUNDUP($C49*$B53,-2),C49)</f>
        <v>0</v>
      </c>
      <c r="D53" s="48"/>
      <c r="E53" s="53">
        <v>0.3</v>
      </c>
      <c r="F53" s="51" t="str">
        <f>IF($C49&gt;$H$3,ROUNDUP($C49*$E53,-2),"")</f>
        <v/>
      </c>
      <c r="G53" s="15"/>
      <c r="H53" s="9"/>
      <c r="I53" s="30"/>
      <c r="J53" s="9"/>
      <c r="K53" s="9"/>
    </row>
    <row r="54" spans="1:11" ht="30">
      <c r="A54" s="15"/>
      <c r="B54" s="15"/>
      <c r="C54" s="50"/>
      <c r="D54" s="50"/>
      <c r="E54" s="50"/>
      <c r="F54" s="51"/>
      <c r="G54" s="15"/>
      <c r="H54" s="9"/>
      <c r="I54" s="30"/>
      <c r="J54" s="9"/>
      <c r="K54" s="9"/>
    </row>
    <row r="55" spans="1:11" ht="30">
      <c r="A55" s="54" t="s">
        <v>17</v>
      </c>
      <c r="B55" s="46">
        <v>0.2</v>
      </c>
      <c r="C55" s="47">
        <f>IF($C49&gt;$H$3,ROUNDUP($C49*$B55,-2),C49)</f>
        <v>0</v>
      </c>
      <c r="D55" s="48"/>
      <c r="E55" s="53">
        <v>0.15</v>
      </c>
      <c r="F55" s="51" t="str">
        <f>IF($C49&gt;$H$3,ROUNDUP($C49*$E55,-2),"")</f>
        <v/>
      </c>
      <c r="G55" s="15"/>
      <c r="H55" s="9"/>
      <c r="I55" s="30"/>
      <c r="J55" s="9"/>
      <c r="K55" s="9"/>
    </row>
    <row r="56" spans="1:11" ht="12.75">
      <c r="A56" s="15"/>
      <c r="B56" s="15"/>
      <c r="C56" s="15"/>
      <c r="D56" s="15"/>
      <c r="E56" s="15"/>
      <c r="F56" s="15"/>
      <c r="G56" s="15"/>
      <c r="H56" s="9"/>
      <c r="I56" s="30"/>
      <c r="J56" s="9"/>
      <c r="K56" s="9"/>
    </row>
    <row r="57" spans="1:11" ht="12.75">
      <c r="A57" s="56"/>
      <c r="B57" s="15"/>
      <c r="C57" s="15">
        <v>1000</v>
      </c>
      <c r="D57" s="15"/>
      <c r="E57" s="15"/>
      <c r="F57" s="15"/>
      <c r="G57" s="15"/>
      <c r="H57" s="9"/>
      <c r="I57" s="30"/>
      <c r="J57" s="9"/>
      <c r="K57" s="9"/>
    </row>
    <row r="58" spans="1:11" ht="14.25">
      <c r="A58" s="58" t="s">
        <v>27</v>
      </c>
      <c r="B58" s="15"/>
      <c r="C58" s="15"/>
      <c r="D58" s="15"/>
      <c r="E58" s="15"/>
      <c r="F58" s="15"/>
      <c r="G58" s="15"/>
      <c r="H58" s="9"/>
      <c r="I58" s="30"/>
      <c r="J58" s="9"/>
      <c r="K58" s="9"/>
    </row>
    <row r="59" spans="1:11" ht="12.75">
      <c r="A59" s="15" t="s">
        <v>28</v>
      </c>
      <c r="B59" s="15"/>
      <c r="C59" s="15"/>
      <c r="D59" s="15"/>
      <c r="E59" s="15"/>
      <c r="F59" s="15"/>
      <c r="G59" s="15"/>
      <c r="H59" s="9"/>
      <c r="I59" s="30"/>
      <c r="J59" s="9"/>
      <c r="K59" s="9"/>
    </row>
    <row r="60" spans="1:11" ht="12.75">
      <c r="A60" s="15"/>
      <c r="B60" s="15"/>
      <c r="C60" s="15"/>
      <c r="D60" s="15"/>
      <c r="E60" s="15"/>
      <c r="F60" s="15"/>
      <c r="G60" s="15"/>
      <c r="H60" s="9"/>
      <c r="I60" s="30"/>
      <c r="J60" s="9"/>
      <c r="K60" s="9"/>
    </row>
    <row r="61" spans="1:11" ht="12.75">
      <c r="A61" s="9"/>
      <c r="B61" s="9"/>
      <c r="C61" s="9"/>
      <c r="D61" s="9"/>
      <c r="E61" s="9"/>
      <c r="F61" s="9"/>
      <c r="G61" s="9"/>
      <c r="H61" s="9"/>
      <c r="I61" s="30"/>
      <c r="J61" s="9"/>
      <c r="K61" s="9"/>
    </row>
    <row r="62" spans="1:11" ht="12.75">
      <c r="A62" s="9"/>
      <c r="B62" s="9"/>
      <c r="C62" s="9"/>
      <c r="D62" s="9"/>
      <c r="E62" s="9"/>
      <c r="F62" s="9"/>
      <c r="G62" s="9"/>
      <c r="H62" s="9"/>
      <c r="I62" s="30"/>
      <c r="J62" s="9"/>
      <c r="K62" s="9"/>
    </row>
    <row r="63" spans="1:11" ht="14.25">
      <c r="A63" s="31">
        <v>12198.97</v>
      </c>
      <c r="B63" s="15"/>
      <c r="C63" s="32">
        <v>8304.1200000000008</v>
      </c>
      <c r="D63" s="15"/>
      <c r="E63" s="15"/>
      <c r="F63" s="15"/>
      <c r="G63" s="15"/>
      <c r="H63" s="9"/>
      <c r="I63" s="30"/>
      <c r="J63" s="9"/>
      <c r="K63" s="9"/>
    </row>
    <row r="64" spans="1:11" ht="23.25">
      <c r="A64" s="35" t="s">
        <v>24</v>
      </c>
      <c r="B64" s="36"/>
      <c r="C64" s="62"/>
      <c r="D64" s="36"/>
      <c r="E64" s="36"/>
      <c r="F64" s="38"/>
      <c r="G64" s="59"/>
      <c r="H64" s="9"/>
      <c r="I64" s="30"/>
      <c r="J64" s="9"/>
      <c r="K64" s="9"/>
    </row>
    <row r="65" spans="1:11" ht="23.25">
      <c r="A65" s="35"/>
      <c r="B65" s="42"/>
      <c r="C65" s="60"/>
      <c r="D65" s="15"/>
      <c r="E65" s="42"/>
      <c r="F65" s="36" t="s">
        <v>25</v>
      </c>
      <c r="G65" s="61"/>
      <c r="H65" s="9"/>
      <c r="I65" s="30"/>
      <c r="J65" s="9"/>
      <c r="K65" s="9"/>
    </row>
    <row r="66" spans="1:11" ht="30">
      <c r="A66" s="45" t="s">
        <v>15</v>
      </c>
      <c r="B66" s="46">
        <v>0.5</v>
      </c>
      <c r="C66" s="47">
        <f>IF(C64&gt;$H$3,ROUNDUP(C64*$B66,-2),C64)</f>
        <v>0</v>
      </c>
      <c r="D66" s="48"/>
      <c r="E66" s="49"/>
      <c r="F66" s="47"/>
      <c r="G66" s="15"/>
      <c r="H66" s="9"/>
      <c r="I66" s="30"/>
      <c r="J66" s="9"/>
      <c r="K66" s="9"/>
    </row>
    <row r="67" spans="1:11" ht="30">
      <c r="A67" s="15"/>
      <c r="B67" s="15"/>
      <c r="C67" s="50"/>
      <c r="D67" s="50"/>
      <c r="E67" s="50"/>
      <c r="F67" s="51"/>
      <c r="G67" s="15" t="s">
        <v>19</v>
      </c>
      <c r="H67" s="9"/>
      <c r="I67" s="30"/>
      <c r="J67" s="9"/>
      <c r="K67" s="9"/>
    </row>
    <row r="68" spans="1:11" ht="30">
      <c r="A68" s="52" t="s">
        <v>16</v>
      </c>
      <c r="B68" s="46">
        <v>0.35</v>
      </c>
      <c r="C68" s="47">
        <f>IF($C64&gt;$H$3,ROUNDUP($C64*$B68,-2),C64)</f>
        <v>0</v>
      </c>
      <c r="D68" s="48"/>
      <c r="E68" s="53">
        <v>0.3</v>
      </c>
      <c r="F68" s="51" t="str">
        <f>IF($C64&gt;$H$3,ROUNDUP($C64*$E68,-2),"")</f>
        <v/>
      </c>
      <c r="G68" s="15"/>
      <c r="H68" s="9"/>
      <c r="I68" s="30"/>
      <c r="J68" s="9"/>
      <c r="K68" s="9"/>
    </row>
    <row r="69" spans="1:11" ht="30">
      <c r="A69" s="15"/>
      <c r="B69" s="15"/>
      <c r="C69" s="50"/>
      <c r="D69" s="50"/>
      <c r="E69" s="50"/>
      <c r="F69" s="51"/>
      <c r="G69" s="15"/>
      <c r="H69" s="9"/>
      <c r="I69" s="30"/>
      <c r="J69" s="9"/>
      <c r="K69" s="9"/>
    </row>
    <row r="70" spans="1:11" ht="30">
      <c r="A70" s="54" t="s">
        <v>17</v>
      </c>
      <c r="B70" s="46">
        <v>0.2</v>
      </c>
      <c r="C70" s="47">
        <f>IF($C64&gt;$H$3,ROUNDUP($C64*$B70,-2),C64)</f>
        <v>0</v>
      </c>
      <c r="D70" s="48"/>
      <c r="E70" s="53">
        <v>0.15</v>
      </c>
      <c r="F70" s="51" t="str">
        <f>IF($C64&gt;$H$3,ROUNDUP($C64*$E70,-2),"")</f>
        <v/>
      </c>
      <c r="G70" s="15"/>
      <c r="H70" s="9"/>
      <c r="I70" s="30"/>
      <c r="J70" s="9"/>
      <c r="K70" s="9"/>
    </row>
    <row r="71" spans="1:11" ht="12.75">
      <c r="A71" s="15"/>
      <c r="B71" s="15"/>
      <c r="C71" s="15"/>
      <c r="D71" s="15"/>
      <c r="E71" s="15"/>
      <c r="F71" s="15"/>
      <c r="G71" s="15"/>
      <c r="H71" s="9"/>
      <c r="I71" s="30"/>
      <c r="J71" s="9"/>
      <c r="K71" s="9"/>
    </row>
    <row r="72" spans="1:11" ht="12.75">
      <c r="A72" s="56"/>
      <c r="B72" s="15"/>
      <c r="C72" s="15">
        <v>1000</v>
      </c>
      <c r="D72" s="15"/>
      <c r="E72" s="15"/>
      <c r="F72" s="15"/>
      <c r="G72" s="15"/>
      <c r="H72" s="9"/>
      <c r="I72" s="30"/>
      <c r="J72" s="9"/>
      <c r="K72" s="9"/>
    </row>
    <row r="73" spans="1:11" ht="14.25">
      <c r="A73" s="58" t="s">
        <v>27</v>
      </c>
      <c r="B73" s="15"/>
      <c r="C73" s="15"/>
      <c r="D73" s="15"/>
      <c r="E73" s="15"/>
      <c r="F73" s="15"/>
      <c r="G73" s="15"/>
      <c r="H73" s="9"/>
      <c r="I73" s="30"/>
      <c r="J73" s="9"/>
      <c r="K73" s="9"/>
    </row>
    <row r="74" spans="1:11" ht="12.75">
      <c r="A74" s="15" t="s">
        <v>28</v>
      </c>
      <c r="B74" s="15"/>
      <c r="C74" s="15"/>
      <c r="D74" s="15"/>
      <c r="E74" s="15"/>
      <c r="F74" s="15"/>
      <c r="G74" s="15"/>
      <c r="H74" s="9"/>
      <c r="I74" s="30"/>
      <c r="J74" s="9"/>
      <c r="K74" s="9"/>
    </row>
    <row r="75" spans="1:11" ht="12.75">
      <c r="A75" s="15"/>
      <c r="B75" s="15"/>
      <c r="C75" s="15"/>
      <c r="D75" s="15"/>
      <c r="E75" s="15"/>
      <c r="F75" s="15"/>
      <c r="G75" s="15"/>
      <c r="H75" s="9"/>
      <c r="I75" s="30"/>
      <c r="J75" s="9"/>
      <c r="K75" s="9"/>
    </row>
    <row r="76" spans="1:11" ht="12.75">
      <c r="A76" s="9"/>
      <c r="B76" s="9"/>
      <c r="C76" s="9"/>
      <c r="D76" s="9"/>
      <c r="E76" s="9"/>
      <c r="F76" s="9"/>
      <c r="G76" s="9"/>
      <c r="H76" s="9"/>
      <c r="I76" s="30"/>
      <c r="J76" s="9"/>
      <c r="K76" s="9"/>
    </row>
    <row r="77" spans="1:11" ht="12.75">
      <c r="A77" s="9"/>
      <c r="B77" s="9"/>
      <c r="C77" s="9"/>
      <c r="D77" s="9"/>
      <c r="E77" s="9"/>
      <c r="F77" s="9"/>
      <c r="G77" s="9"/>
      <c r="H77" s="9"/>
      <c r="I77" s="30"/>
      <c r="J77" s="9"/>
      <c r="K77" s="9"/>
    </row>
    <row r="78" spans="1:11" ht="14.25">
      <c r="A78" s="31">
        <v>12198.97</v>
      </c>
      <c r="B78" s="15"/>
      <c r="C78" s="32">
        <v>8304.1200000000008</v>
      </c>
      <c r="D78" s="15"/>
      <c r="E78" s="15"/>
      <c r="F78" s="15"/>
      <c r="G78" s="15"/>
      <c r="H78" s="9"/>
      <c r="I78" s="30"/>
      <c r="J78" s="9"/>
      <c r="K78" s="9"/>
    </row>
    <row r="79" spans="1:11" ht="23.25">
      <c r="A79" s="35" t="s">
        <v>24</v>
      </c>
      <c r="B79" s="36"/>
      <c r="C79" s="37"/>
      <c r="D79" s="36"/>
      <c r="E79" s="36"/>
      <c r="F79" s="38"/>
      <c r="G79" s="59"/>
      <c r="H79" s="9"/>
      <c r="I79" s="30"/>
      <c r="J79" s="9"/>
      <c r="K79" s="9"/>
    </row>
    <row r="80" spans="1:11" ht="23.25">
      <c r="A80" s="35"/>
      <c r="B80" s="42"/>
      <c r="C80" s="60"/>
      <c r="D80" s="15"/>
      <c r="E80" s="42"/>
      <c r="F80" s="36" t="s">
        <v>25</v>
      </c>
      <c r="G80" s="61"/>
      <c r="H80" s="9"/>
      <c r="I80" s="30"/>
      <c r="J80" s="9"/>
      <c r="K80" s="9"/>
    </row>
    <row r="81" spans="1:11" ht="30">
      <c r="A81" s="45" t="s">
        <v>15</v>
      </c>
      <c r="B81" s="46">
        <v>0.5</v>
      </c>
      <c r="C81" s="47">
        <f>IF(C79&gt;$H$3,ROUNDUP(C79*$B81,-2),C79)</f>
        <v>0</v>
      </c>
      <c r="D81" s="48"/>
      <c r="E81" s="49"/>
      <c r="F81" s="47"/>
      <c r="G81" s="15"/>
      <c r="H81" s="9"/>
      <c r="I81" s="30"/>
      <c r="J81" s="9"/>
      <c r="K81" s="9"/>
    </row>
    <row r="82" spans="1:11" ht="30">
      <c r="A82" s="15"/>
      <c r="B82" s="15"/>
      <c r="C82" s="50"/>
      <c r="D82" s="50"/>
      <c r="E82" s="50"/>
      <c r="F82" s="51"/>
      <c r="G82" s="15" t="s">
        <v>19</v>
      </c>
      <c r="H82" s="9"/>
      <c r="I82" s="30"/>
      <c r="J82" s="9"/>
      <c r="K82" s="9"/>
    </row>
    <row r="83" spans="1:11" ht="30">
      <c r="A83" s="52" t="s">
        <v>16</v>
      </c>
      <c r="B83" s="46">
        <v>0.35</v>
      </c>
      <c r="C83" s="47">
        <f>IF($C79&gt;$H$3,ROUNDUP($C79*$B83,-2),C79)</f>
        <v>0</v>
      </c>
      <c r="D83" s="48"/>
      <c r="E83" s="53">
        <v>0.3</v>
      </c>
      <c r="F83" s="51" t="str">
        <f>IF($C79&gt;$H$3,ROUNDUP($C79*$E83,-2),"")</f>
        <v/>
      </c>
      <c r="G83" s="15"/>
      <c r="H83" s="9"/>
      <c r="I83" s="30"/>
      <c r="J83" s="9"/>
      <c r="K83" s="9"/>
    </row>
    <row r="84" spans="1:11" ht="30">
      <c r="A84" s="15"/>
      <c r="B84" s="15"/>
      <c r="C84" s="50"/>
      <c r="D84" s="50"/>
      <c r="E84" s="50"/>
      <c r="F84" s="51"/>
      <c r="G84" s="15"/>
      <c r="H84" s="9"/>
      <c r="I84" s="30"/>
      <c r="J84" s="9"/>
      <c r="K84" s="9"/>
    </row>
    <row r="85" spans="1:11" ht="30">
      <c r="A85" s="54" t="s">
        <v>17</v>
      </c>
      <c r="B85" s="46">
        <v>0.2</v>
      </c>
      <c r="C85" s="47">
        <f>IF($C79&gt;$H$3,ROUNDUP($C79*$B85,-2),C79)</f>
        <v>0</v>
      </c>
      <c r="D85" s="48"/>
      <c r="E85" s="53">
        <v>0.15</v>
      </c>
      <c r="F85" s="51" t="str">
        <f>IF($C79&gt;$H$3,ROUNDUP($C79*$E85,-2),"")</f>
        <v/>
      </c>
      <c r="G85" s="15"/>
      <c r="H85" s="9"/>
      <c r="I85" s="30"/>
      <c r="J85" s="9"/>
      <c r="K85" s="9"/>
    </row>
    <row r="86" spans="1:11" ht="12.75">
      <c r="A86" s="15"/>
      <c r="B86" s="15"/>
      <c r="C86" s="15"/>
      <c r="D86" s="15"/>
      <c r="E86" s="15"/>
      <c r="F86" s="15"/>
      <c r="G86" s="15"/>
      <c r="H86" s="9"/>
      <c r="I86" s="30"/>
      <c r="J86" s="9"/>
      <c r="K86" s="9"/>
    </row>
    <row r="87" spans="1:11" ht="12.75">
      <c r="A87" s="56"/>
      <c r="B87" s="15"/>
      <c r="C87" s="15">
        <v>1000</v>
      </c>
      <c r="D87" s="15"/>
      <c r="E87" s="15"/>
      <c r="F87" s="15"/>
      <c r="G87" s="15"/>
      <c r="H87" s="9"/>
      <c r="I87" s="30"/>
      <c r="J87" s="9"/>
      <c r="K87" s="9"/>
    </row>
    <row r="88" spans="1:11" ht="14.25">
      <c r="A88" s="58" t="s">
        <v>27</v>
      </c>
      <c r="B88" s="15"/>
      <c r="C88" s="15"/>
      <c r="D88" s="15"/>
      <c r="E88" s="15"/>
      <c r="F88" s="15"/>
      <c r="G88" s="15"/>
      <c r="H88" s="9"/>
      <c r="I88" s="30"/>
      <c r="J88" s="9"/>
      <c r="K88" s="9"/>
    </row>
    <row r="89" spans="1:11" ht="12.75">
      <c r="A89" s="15" t="s">
        <v>28</v>
      </c>
      <c r="B89" s="15"/>
      <c r="C89" s="15"/>
      <c r="D89" s="15"/>
      <c r="E89" s="15"/>
      <c r="F89" s="15"/>
      <c r="G89" s="15"/>
      <c r="H89" s="9"/>
      <c r="I89" s="30"/>
      <c r="J89" s="9"/>
      <c r="K89" s="9"/>
    </row>
    <row r="90" spans="1:11" ht="12.75">
      <c r="A90" s="15"/>
      <c r="B90" s="15"/>
      <c r="C90" s="15"/>
      <c r="D90" s="15"/>
      <c r="E90" s="15"/>
      <c r="F90" s="15"/>
      <c r="G90" s="15"/>
      <c r="H90" s="9"/>
      <c r="I90" s="30"/>
      <c r="J90" s="9"/>
      <c r="K90" s="9"/>
    </row>
    <row r="91" spans="1:11" ht="12.75">
      <c r="A91" s="9"/>
      <c r="B91" s="9"/>
      <c r="C91" s="9"/>
      <c r="D91" s="9"/>
      <c r="E91" s="9"/>
      <c r="F91" s="9"/>
      <c r="G91" s="9"/>
      <c r="H91" s="9"/>
      <c r="I91" s="30"/>
      <c r="J91" s="9"/>
      <c r="K91" s="9"/>
    </row>
    <row r="92" spans="1:11" ht="12.75">
      <c r="A92" s="9"/>
      <c r="B92" s="9"/>
      <c r="C92" s="9"/>
      <c r="D92" s="9"/>
      <c r="E92" s="9"/>
      <c r="F92" s="9"/>
      <c r="G92" s="9"/>
      <c r="H92" s="9"/>
      <c r="I92" s="30"/>
      <c r="J92" s="9"/>
      <c r="K92" s="9"/>
    </row>
    <row r="93" spans="1:11" ht="14.25">
      <c r="A93" s="31">
        <v>12198.97</v>
      </c>
      <c r="B93" s="15"/>
      <c r="C93" s="32">
        <v>8304.1200000000008</v>
      </c>
      <c r="D93" s="15"/>
      <c r="E93" s="15"/>
      <c r="F93" s="15"/>
      <c r="G93" s="15"/>
      <c r="H93" s="9"/>
      <c r="I93" s="30"/>
      <c r="J93" s="9"/>
      <c r="K93" s="9"/>
    </row>
    <row r="94" spans="1:11" ht="23.25">
      <c r="A94" s="35" t="s">
        <v>24</v>
      </c>
      <c r="B94" s="36"/>
      <c r="C94" s="63"/>
      <c r="D94" s="36"/>
      <c r="E94" s="36"/>
      <c r="F94" s="38"/>
      <c r="G94" s="59"/>
      <c r="H94" s="9"/>
      <c r="I94" s="30"/>
      <c r="J94" s="9"/>
      <c r="K94" s="9"/>
    </row>
    <row r="95" spans="1:11" ht="23.25">
      <c r="A95" s="35"/>
      <c r="B95" s="42"/>
      <c r="C95" s="60"/>
      <c r="D95" s="15"/>
      <c r="E95" s="42"/>
      <c r="F95" s="36" t="s">
        <v>25</v>
      </c>
      <c r="G95" s="61"/>
      <c r="H95" s="9"/>
      <c r="I95" s="30"/>
      <c r="J95" s="9"/>
      <c r="K95" s="9"/>
    </row>
    <row r="96" spans="1:11" ht="30">
      <c r="A96" s="45" t="s">
        <v>15</v>
      </c>
      <c r="B96" s="46">
        <v>0.5</v>
      </c>
      <c r="C96" s="47">
        <f>IF(C94&gt;$H$3,ROUNDUP(C94*$B96,-2),C94)</f>
        <v>0</v>
      </c>
      <c r="D96" s="48"/>
      <c r="E96" s="49"/>
      <c r="F96" s="47"/>
      <c r="G96" s="15"/>
      <c r="H96" s="9"/>
      <c r="I96" s="30"/>
      <c r="J96" s="9"/>
      <c r="K96" s="9"/>
    </row>
    <row r="97" spans="1:11" ht="30">
      <c r="A97" s="15"/>
      <c r="B97" s="15"/>
      <c r="C97" s="50"/>
      <c r="D97" s="50"/>
      <c r="E97" s="50"/>
      <c r="F97" s="51"/>
      <c r="G97" s="15" t="s">
        <v>19</v>
      </c>
      <c r="H97" s="9"/>
      <c r="I97" s="30"/>
      <c r="J97" s="9"/>
      <c r="K97" s="9"/>
    </row>
    <row r="98" spans="1:11" ht="30">
      <c r="A98" s="52" t="s">
        <v>16</v>
      </c>
      <c r="B98" s="46">
        <v>0.35</v>
      </c>
      <c r="C98" s="47">
        <f>IF($C94&gt;$H$3,ROUNDUP($C94*$B98,-2),C94)</f>
        <v>0</v>
      </c>
      <c r="D98" s="48"/>
      <c r="E98" s="53">
        <v>0.3</v>
      </c>
      <c r="F98" s="51" t="str">
        <f>IF($C94&gt;$H$3,ROUNDUP($C94*$E98,-2),"")</f>
        <v/>
      </c>
      <c r="G98" s="15"/>
      <c r="H98" s="9"/>
      <c r="I98" s="30"/>
      <c r="J98" s="9"/>
      <c r="K98" s="9"/>
    </row>
    <row r="99" spans="1:11" ht="30">
      <c r="A99" s="15"/>
      <c r="B99" s="15"/>
      <c r="C99" s="50"/>
      <c r="D99" s="50"/>
      <c r="E99" s="50"/>
      <c r="F99" s="51"/>
      <c r="G99" s="15"/>
      <c r="H99" s="9"/>
      <c r="I99" s="30"/>
      <c r="J99" s="9"/>
      <c r="K99" s="9"/>
    </row>
    <row r="100" spans="1:11" ht="30">
      <c r="A100" s="54" t="s">
        <v>17</v>
      </c>
      <c r="B100" s="46">
        <v>0.2</v>
      </c>
      <c r="C100" s="47">
        <f>IF($C94&gt;$H$3,ROUNDUP($C94*$B100,-2),C94)</f>
        <v>0</v>
      </c>
      <c r="D100" s="48"/>
      <c r="E100" s="53">
        <v>0.15</v>
      </c>
      <c r="F100" s="51" t="str">
        <f>IF($C94&gt;$H$3,ROUNDUP($C94*$E100,-2),"")</f>
        <v/>
      </c>
      <c r="G100" s="15"/>
      <c r="H100" s="9"/>
      <c r="I100" s="30"/>
      <c r="J100" s="9"/>
      <c r="K100" s="9"/>
    </row>
    <row r="101" spans="1:11" ht="12.75">
      <c r="A101" s="15"/>
      <c r="B101" s="15"/>
      <c r="C101" s="15"/>
      <c r="D101" s="15"/>
      <c r="E101" s="15"/>
      <c r="F101" s="15"/>
      <c r="G101" s="15"/>
      <c r="H101" s="9"/>
      <c r="I101" s="30"/>
      <c r="J101" s="9"/>
      <c r="K101" s="9"/>
    </row>
    <row r="102" spans="1:11" ht="12.75">
      <c r="A102" s="56"/>
      <c r="B102" s="15"/>
      <c r="C102" s="15">
        <v>1000</v>
      </c>
      <c r="D102" s="15"/>
      <c r="E102" s="15"/>
      <c r="F102" s="15"/>
      <c r="G102" s="15"/>
      <c r="H102" s="9"/>
      <c r="I102" s="30"/>
      <c r="J102" s="9"/>
      <c r="K102" s="9"/>
    </row>
    <row r="103" spans="1:11" ht="14.25">
      <c r="A103" s="58" t="s">
        <v>27</v>
      </c>
      <c r="B103" s="15"/>
      <c r="C103" s="15"/>
      <c r="D103" s="15"/>
      <c r="E103" s="15"/>
      <c r="F103" s="15"/>
      <c r="G103" s="15"/>
      <c r="H103" s="9"/>
      <c r="I103" s="30"/>
      <c r="J103" s="9"/>
      <c r="K103" s="9"/>
    </row>
    <row r="104" spans="1:11" ht="12.75">
      <c r="A104" s="15" t="s">
        <v>28</v>
      </c>
      <c r="B104" s="15"/>
      <c r="C104" s="15"/>
      <c r="D104" s="15"/>
      <c r="E104" s="15"/>
      <c r="F104" s="15"/>
      <c r="G104" s="15"/>
      <c r="H104" s="9"/>
      <c r="I104" s="30"/>
      <c r="J104" s="9"/>
      <c r="K104" s="9"/>
    </row>
    <row r="105" spans="1:11" ht="12.75">
      <c r="A105" s="15"/>
      <c r="B105" s="15"/>
      <c r="C105" s="15"/>
      <c r="D105" s="15"/>
      <c r="E105" s="15"/>
      <c r="F105" s="15"/>
      <c r="G105" s="15"/>
      <c r="H105" s="9"/>
      <c r="I105" s="30"/>
      <c r="J105" s="9"/>
      <c r="K105" s="9"/>
    </row>
    <row r="106" spans="1:11" ht="12.75">
      <c r="A106" s="9"/>
      <c r="B106" s="9"/>
      <c r="C106" s="9"/>
      <c r="D106" s="9"/>
      <c r="E106" s="9"/>
      <c r="F106" s="9"/>
      <c r="G106" s="9"/>
      <c r="H106" s="9"/>
      <c r="I106" s="30"/>
      <c r="J106" s="9"/>
      <c r="K106" s="9"/>
    </row>
    <row r="107" spans="1:11" ht="12.75">
      <c r="A107" s="9"/>
      <c r="B107" s="9"/>
      <c r="C107" s="9"/>
      <c r="D107" s="9"/>
      <c r="E107" s="9"/>
      <c r="F107" s="9"/>
      <c r="G107" s="9"/>
      <c r="H107" s="9"/>
      <c r="I107" s="30"/>
      <c r="J107" s="9"/>
      <c r="K107" s="9"/>
    </row>
    <row r="108" spans="1:11" ht="14.25">
      <c r="A108" s="31">
        <v>12198.97</v>
      </c>
      <c r="B108" s="15"/>
      <c r="C108" s="32">
        <v>8304.1200000000008</v>
      </c>
      <c r="D108" s="15"/>
      <c r="E108" s="15"/>
      <c r="F108" s="15"/>
      <c r="G108" s="15"/>
      <c r="H108" s="9"/>
      <c r="I108" s="30"/>
      <c r="J108" s="9"/>
      <c r="K108" s="9"/>
    </row>
    <row r="109" spans="1:11" ht="23.25">
      <c r="A109" s="35" t="s">
        <v>24</v>
      </c>
      <c r="B109" s="36"/>
      <c r="C109" s="64"/>
      <c r="D109" s="36"/>
      <c r="E109" s="36"/>
      <c r="F109" s="38"/>
      <c r="G109" s="59"/>
      <c r="H109" s="9"/>
      <c r="I109" s="30"/>
      <c r="J109" s="9"/>
      <c r="K109" s="9"/>
    </row>
    <row r="110" spans="1:11" ht="23.25">
      <c r="A110" s="35"/>
      <c r="B110" s="42"/>
      <c r="C110" s="60"/>
      <c r="D110" s="15"/>
      <c r="E110" s="42"/>
      <c r="F110" s="36" t="s">
        <v>25</v>
      </c>
      <c r="G110" s="61"/>
      <c r="H110" s="9"/>
      <c r="I110" s="30"/>
      <c r="J110" s="9"/>
      <c r="K110" s="9"/>
    </row>
    <row r="111" spans="1:11" ht="30">
      <c r="A111" s="45" t="s">
        <v>15</v>
      </c>
      <c r="B111" s="46">
        <v>0.5</v>
      </c>
      <c r="C111" s="47">
        <f>IF(C109&gt;$H$3,ROUNDUP(C109*$B111,-2),C109)</f>
        <v>0</v>
      </c>
      <c r="D111" s="48"/>
      <c r="E111" s="49"/>
      <c r="F111" s="47"/>
      <c r="G111" s="15"/>
      <c r="H111" s="9"/>
      <c r="I111" s="30"/>
      <c r="J111" s="9"/>
      <c r="K111" s="9"/>
    </row>
    <row r="112" spans="1:11" ht="30">
      <c r="A112" s="15"/>
      <c r="B112" s="15"/>
      <c r="C112" s="50"/>
      <c r="D112" s="50"/>
      <c r="E112" s="50"/>
      <c r="F112" s="51"/>
      <c r="G112" s="15" t="s">
        <v>19</v>
      </c>
      <c r="H112" s="9"/>
      <c r="I112" s="30"/>
      <c r="J112" s="9"/>
      <c r="K112" s="9"/>
    </row>
    <row r="113" spans="1:11" ht="30">
      <c r="A113" s="52" t="s">
        <v>16</v>
      </c>
      <c r="B113" s="46">
        <v>0.35</v>
      </c>
      <c r="C113" s="47">
        <f>IF($C109&gt;$H$3,ROUNDUP($C109*$B113,-2),C109)</f>
        <v>0</v>
      </c>
      <c r="D113" s="48"/>
      <c r="E113" s="53">
        <v>0.3</v>
      </c>
      <c r="F113" s="51" t="str">
        <f>IF($C109&gt;$H$3,ROUNDUP($C109*$E113,-2),"")</f>
        <v/>
      </c>
      <c r="G113" s="15"/>
      <c r="H113" s="9"/>
      <c r="I113" s="30"/>
      <c r="J113" s="9"/>
      <c r="K113" s="9"/>
    </row>
    <row r="114" spans="1:11" ht="30">
      <c r="A114" s="15"/>
      <c r="B114" s="15"/>
      <c r="C114" s="50"/>
      <c r="D114" s="50"/>
      <c r="E114" s="50"/>
      <c r="F114" s="51"/>
      <c r="G114" s="15"/>
      <c r="H114" s="9"/>
      <c r="I114" s="30"/>
      <c r="J114" s="9"/>
      <c r="K114" s="9"/>
    </row>
    <row r="115" spans="1:11" ht="30">
      <c r="A115" s="54" t="s">
        <v>17</v>
      </c>
      <c r="B115" s="46">
        <v>0.2</v>
      </c>
      <c r="C115" s="47">
        <f>IF($C109&gt;$H$3,ROUNDUP($C109*$B115,-2),C109)</f>
        <v>0</v>
      </c>
      <c r="D115" s="48"/>
      <c r="E115" s="53">
        <v>0.15</v>
      </c>
      <c r="F115" s="51" t="str">
        <f>IF($C109&gt;$H$3,ROUNDUP($C109*$E115,-2),"")</f>
        <v/>
      </c>
      <c r="G115" s="15"/>
      <c r="H115" s="9"/>
      <c r="I115" s="30"/>
      <c r="J115" s="9"/>
      <c r="K115" s="9"/>
    </row>
    <row r="116" spans="1:11" ht="12.75">
      <c r="A116" s="15"/>
      <c r="B116" s="15"/>
      <c r="C116" s="15"/>
      <c r="D116" s="15"/>
      <c r="E116" s="15"/>
      <c r="F116" s="15"/>
      <c r="G116" s="15"/>
      <c r="H116" s="9"/>
      <c r="I116" s="30"/>
      <c r="J116" s="9"/>
      <c r="K116" s="9"/>
    </row>
    <row r="117" spans="1:11" ht="12.75">
      <c r="A117" s="56"/>
      <c r="B117" s="15"/>
      <c r="C117" s="15">
        <v>1000</v>
      </c>
      <c r="D117" s="15"/>
      <c r="E117" s="15"/>
      <c r="F117" s="15"/>
      <c r="G117" s="15"/>
      <c r="H117" s="9"/>
      <c r="I117" s="30"/>
      <c r="J117" s="9"/>
      <c r="K117" s="9"/>
    </row>
    <row r="118" spans="1:11" ht="14.25">
      <c r="A118" s="58" t="s">
        <v>27</v>
      </c>
      <c r="B118" s="15"/>
      <c r="C118" s="15"/>
      <c r="D118" s="15"/>
      <c r="E118" s="15"/>
      <c r="F118" s="15"/>
      <c r="G118" s="15"/>
      <c r="H118" s="9"/>
      <c r="I118" s="30"/>
      <c r="J118" s="9"/>
      <c r="K118" s="9"/>
    </row>
    <row r="119" spans="1:11" ht="12.75">
      <c r="A119" s="15" t="s">
        <v>28</v>
      </c>
      <c r="B119" s="15"/>
      <c r="C119" s="15"/>
      <c r="D119" s="15"/>
      <c r="E119" s="15"/>
      <c r="F119" s="15"/>
      <c r="G119" s="15"/>
      <c r="H119" s="9"/>
      <c r="I119" s="30"/>
      <c r="J119" s="9"/>
      <c r="K119" s="9"/>
    </row>
    <row r="120" spans="1:11" ht="12.75">
      <c r="A120" s="15"/>
      <c r="B120" s="15"/>
      <c r="C120" s="15"/>
      <c r="D120" s="15"/>
      <c r="E120" s="15"/>
      <c r="F120" s="15"/>
      <c r="G120" s="15"/>
      <c r="H120" s="9"/>
      <c r="I120" s="30"/>
      <c r="J120" s="9"/>
      <c r="K120" s="9"/>
    </row>
  </sheetData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3:L112"/>
  <sheetViews>
    <sheetView showGridLines="0" tabSelected="1" workbookViewId="0">
      <selection activeCell="F25" sqref="F25"/>
    </sheetView>
  </sheetViews>
  <sheetFormatPr defaultColWidth="12.5703125" defaultRowHeight="15" customHeight="1"/>
  <cols>
    <col min="2" max="2" width="26.28515625" customWidth="1"/>
    <col min="4" max="4" width="22" customWidth="1"/>
    <col min="6" max="6" width="33.140625" customWidth="1"/>
  </cols>
  <sheetData>
    <row r="3" spans="2:12" ht="14.25">
      <c r="B3" s="31">
        <v>12198.97</v>
      </c>
      <c r="C3" s="15"/>
      <c r="D3" s="32"/>
      <c r="E3" s="15"/>
      <c r="F3" s="15"/>
      <c r="G3" s="15"/>
    </row>
    <row r="4" spans="2:12" ht="32.25" customHeight="1">
      <c r="B4" s="35" t="s">
        <v>24</v>
      </c>
      <c r="C4" s="36"/>
      <c r="D4" s="105">
        <v>18386</v>
      </c>
      <c r="E4" s="36"/>
      <c r="F4" s="36"/>
      <c r="G4" s="38"/>
    </row>
    <row r="5" spans="2:12" ht="23.25">
      <c r="B5" s="35"/>
      <c r="C5" s="42"/>
      <c r="D5" s="106"/>
      <c r="E5" s="15"/>
      <c r="F5" s="42"/>
      <c r="G5" s="38"/>
    </row>
    <row r="6" spans="2:12" ht="25.5" customHeight="1">
      <c r="B6" s="45"/>
      <c r="C6" s="46"/>
      <c r="D6" s="65" t="s">
        <v>29</v>
      </c>
      <c r="E6" s="48"/>
      <c r="F6" s="66" t="s">
        <v>30</v>
      </c>
      <c r="G6" s="38"/>
    </row>
    <row r="7" spans="2:12" ht="27" customHeight="1">
      <c r="B7" s="45"/>
      <c r="C7" s="46">
        <v>0.1</v>
      </c>
      <c r="D7" s="67">
        <f>$D$4*C7</f>
        <v>1838.6000000000001</v>
      </c>
      <c r="E7" s="48"/>
      <c r="F7" s="68">
        <f>ROUNDUP($D$4-D7,-2)</f>
        <v>16600</v>
      </c>
      <c r="G7" s="38"/>
      <c r="L7" s="69"/>
    </row>
    <row r="8" spans="2:12" ht="9.75" customHeight="1">
      <c r="B8" s="45"/>
      <c r="C8" s="46"/>
      <c r="D8" s="70"/>
      <c r="E8" s="70"/>
      <c r="F8" s="70"/>
      <c r="G8" s="38"/>
      <c r="L8" s="69"/>
    </row>
    <row r="9" spans="2:12" ht="27" customHeight="1">
      <c r="B9" s="45"/>
      <c r="C9" s="46">
        <v>0.25</v>
      </c>
      <c r="D9" s="67">
        <f>$D$4*C9</f>
        <v>4596.5</v>
      </c>
      <c r="E9" s="48"/>
      <c r="F9" s="68">
        <f>ROUNDUP($D$4-D9,-2)</f>
        <v>13800</v>
      </c>
      <c r="G9" s="38"/>
      <c r="L9" s="69"/>
    </row>
    <row r="10" spans="2:12" ht="9.75" customHeight="1">
      <c r="B10" s="45"/>
      <c r="C10" s="46"/>
      <c r="D10" s="70"/>
      <c r="E10" s="48"/>
      <c r="F10" s="71"/>
      <c r="G10" s="38"/>
      <c r="L10" s="69"/>
    </row>
    <row r="11" spans="2:12" ht="25.5" customHeight="1">
      <c r="B11" s="45"/>
      <c r="C11" s="46">
        <v>0.3</v>
      </c>
      <c r="D11" s="67">
        <f>$D$4*C11</f>
        <v>5515.8</v>
      </c>
      <c r="E11" s="48"/>
      <c r="F11" s="68">
        <f>ROUNDUP($D$4-D11,-2)</f>
        <v>12900</v>
      </c>
      <c r="G11" s="38"/>
      <c r="L11" s="69"/>
    </row>
    <row r="12" spans="2:12" ht="9.75" customHeight="1">
      <c r="B12" s="45"/>
      <c r="C12" s="46"/>
      <c r="D12" s="67"/>
      <c r="E12" s="48"/>
      <c r="F12" s="71"/>
      <c r="G12" s="38"/>
      <c r="L12" s="69"/>
    </row>
    <row r="13" spans="2:12" ht="27.75">
      <c r="B13" s="45"/>
      <c r="C13" s="46">
        <v>0.35</v>
      </c>
      <c r="D13" s="67">
        <f>$D$4*C13</f>
        <v>6435.0999999999995</v>
      </c>
      <c r="E13" s="48"/>
      <c r="F13" s="68">
        <f>ROUNDUP($D$4-D13,-2)</f>
        <v>12000</v>
      </c>
      <c r="G13" s="38"/>
      <c r="L13" s="69"/>
    </row>
    <row r="14" spans="2:12" ht="9.75" customHeight="1">
      <c r="B14" s="15"/>
      <c r="C14" s="15"/>
      <c r="D14" s="47"/>
      <c r="E14" s="50"/>
      <c r="F14" s="72"/>
      <c r="G14" s="38"/>
      <c r="L14" s="69"/>
    </row>
    <row r="15" spans="2:12" ht="27.75">
      <c r="B15" s="52"/>
      <c r="C15" s="46">
        <v>0.4</v>
      </c>
      <c r="D15" s="67">
        <f>$D$4*C15</f>
        <v>7354.4000000000005</v>
      </c>
      <c r="E15" s="48"/>
      <c r="F15" s="68">
        <f>ROUNDUP($D$4-D15,-2)</f>
        <v>11100</v>
      </c>
      <c r="G15" s="38"/>
      <c r="L15" s="69"/>
    </row>
    <row r="16" spans="2:12" ht="9.75" customHeight="1">
      <c r="B16" s="15"/>
      <c r="C16" s="15"/>
      <c r="D16" s="50"/>
      <c r="E16" s="50"/>
      <c r="F16" s="72"/>
      <c r="G16" s="38"/>
      <c r="L16" s="69"/>
    </row>
    <row r="17" spans="2:12" ht="27.75">
      <c r="B17" s="54"/>
      <c r="C17" s="46">
        <v>0.5</v>
      </c>
      <c r="D17" s="67">
        <f>$D$4*C17</f>
        <v>9193</v>
      </c>
      <c r="E17" s="48"/>
      <c r="F17" s="68">
        <f>ROUNDUP($D$4-D17,-2)</f>
        <v>9200</v>
      </c>
      <c r="G17" s="38"/>
      <c r="L17" s="69"/>
    </row>
    <row r="18" spans="2:12" ht="9.75" customHeight="1">
      <c r="B18" s="54"/>
      <c r="C18" s="46"/>
      <c r="D18" s="67"/>
      <c r="E18" s="48"/>
      <c r="F18" s="71"/>
      <c r="G18" s="38"/>
      <c r="L18" s="69"/>
    </row>
    <row r="19" spans="2:12" ht="27.75">
      <c r="B19" s="54"/>
      <c r="C19" s="46">
        <v>0.55000000000000004</v>
      </c>
      <c r="D19" s="67">
        <f>$D$4*C19</f>
        <v>10112.300000000001</v>
      </c>
      <c r="E19" s="48"/>
      <c r="F19" s="68">
        <f>ROUNDUP($D$4-D19,-2)</f>
        <v>8300</v>
      </c>
      <c r="G19" s="38"/>
      <c r="H19" s="73"/>
      <c r="I19" s="73"/>
      <c r="J19" s="74"/>
      <c r="K19" s="74"/>
      <c r="L19" s="69"/>
    </row>
    <row r="20" spans="2:12" ht="9.75" customHeight="1">
      <c r="B20" s="15"/>
      <c r="C20" s="15"/>
      <c r="D20" s="15"/>
      <c r="E20" s="15"/>
      <c r="F20" s="75"/>
      <c r="G20" s="38"/>
      <c r="H20" s="73"/>
      <c r="I20" s="73"/>
      <c r="L20" s="69"/>
    </row>
    <row r="21" spans="2:12" ht="27.75">
      <c r="B21" s="56"/>
      <c r="C21" s="46">
        <v>0.6</v>
      </c>
      <c r="D21" s="67">
        <f>$D$4*C21</f>
        <v>11031.6</v>
      </c>
      <c r="E21" s="48"/>
      <c r="F21" s="68">
        <f>ROUNDUP($D$4-D21,-2)</f>
        <v>7400</v>
      </c>
      <c r="G21" s="38"/>
      <c r="J21" s="76"/>
    </row>
    <row r="22" spans="2:12" ht="9.75" customHeight="1">
      <c r="B22" s="58"/>
      <c r="C22" s="15"/>
      <c r="D22" s="15"/>
      <c r="E22" s="15"/>
      <c r="F22" s="38"/>
      <c r="G22" s="38"/>
    </row>
    <row r="23" spans="2:12" ht="27.75">
      <c r="B23" s="56"/>
      <c r="C23" s="46">
        <v>0.7</v>
      </c>
      <c r="D23" s="67">
        <f>$D$4*C23</f>
        <v>12870.199999999999</v>
      </c>
      <c r="E23" s="48"/>
      <c r="F23" s="68">
        <f>ROUNDUP($D$4-D23,-2)</f>
        <v>5600</v>
      </c>
      <c r="G23" s="38"/>
      <c r="L23" s="76"/>
    </row>
    <row r="24" spans="2:12" ht="9.75" customHeight="1">
      <c r="B24" s="15"/>
      <c r="C24" s="15"/>
      <c r="D24" s="15"/>
      <c r="E24" s="15"/>
      <c r="F24" s="38"/>
      <c r="G24" s="38"/>
    </row>
    <row r="25" spans="2:12" ht="27.75">
      <c r="B25" s="56"/>
      <c r="C25" s="46">
        <v>0.8</v>
      </c>
      <c r="D25" s="67">
        <f>$D$4*C25</f>
        <v>14708.800000000001</v>
      </c>
      <c r="E25" s="48"/>
      <c r="F25" s="68">
        <f>ROUNDUP($D$4-D25,-2)</f>
        <v>3700</v>
      </c>
      <c r="G25" s="38"/>
    </row>
    <row r="26" spans="2:12" ht="12.75">
      <c r="B26" s="77"/>
      <c r="C26" s="77"/>
      <c r="D26" s="77"/>
      <c r="E26" s="77"/>
      <c r="F26" s="78"/>
      <c r="G26" s="38"/>
    </row>
    <row r="28" spans="2:12" ht="12.75">
      <c r="F28" s="69"/>
    </row>
    <row r="29" spans="2:12" ht="12.75">
      <c r="C29" s="79"/>
      <c r="D29" s="79"/>
      <c r="F29" s="69"/>
    </row>
    <row r="30" spans="2:12" ht="12.75">
      <c r="F30" s="69"/>
    </row>
    <row r="31" spans="2:12" ht="12.75">
      <c r="B31" s="79"/>
      <c r="F31" s="69"/>
    </row>
    <row r="32" spans="2:12" ht="12.75">
      <c r="F32" s="69"/>
    </row>
    <row r="33" spans="2:7" ht="14.25">
      <c r="B33" s="31">
        <v>12198.97</v>
      </c>
      <c r="C33" s="15"/>
      <c r="D33" s="32"/>
      <c r="E33" s="15"/>
      <c r="F33" s="15"/>
      <c r="G33" s="15"/>
    </row>
    <row r="34" spans="2:7" ht="46.5">
      <c r="B34" s="35" t="s">
        <v>24</v>
      </c>
      <c r="C34" s="36"/>
      <c r="D34" s="105">
        <v>18386</v>
      </c>
      <c r="E34" s="36"/>
      <c r="F34" s="36"/>
      <c r="G34" s="38"/>
    </row>
    <row r="35" spans="2:7" ht="23.25">
      <c r="B35" s="35"/>
      <c r="C35" s="42"/>
      <c r="D35" s="106"/>
      <c r="E35" s="15"/>
      <c r="F35" s="42"/>
      <c r="G35" s="38"/>
    </row>
    <row r="36" spans="2:7" ht="29.25">
      <c r="B36" s="45"/>
      <c r="C36" s="46"/>
      <c r="D36" s="65" t="s">
        <v>29</v>
      </c>
      <c r="E36" s="48"/>
      <c r="F36" s="66" t="s">
        <v>30</v>
      </c>
      <c r="G36" s="38"/>
    </row>
    <row r="37" spans="2:7" ht="27.75">
      <c r="B37" s="45"/>
      <c r="C37" s="46">
        <v>0.1</v>
      </c>
      <c r="D37" s="67">
        <f>$D$34*C37</f>
        <v>1838.6000000000001</v>
      </c>
      <c r="E37" s="48"/>
      <c r="F37" s="68">
        <f>ROUNDUP($D$34-D37,-2)</f>
        <v>16600</v>
      </c>
      <c r="G37" s="38"/>
    </row>
    <row r="38" spans="2:7" ht="23.25">
      <c r="B38" s="45"/>
      <c r="C38" s="46"/>
      <c r="D38" s="70"/>
      <c r="E38" s="70"/>
      <c r="F38" s="70"/>
      <c r="G38" s="38"/>
    </row>
    <row r="39" spans="2:7" ht="27.75">
      <c r="B39" s="45"/>
      <c r="C39" s="46">
        <v>0.25</v>
      </c>
      <c r="D39" s="67">
        <f>$D$34*C39</f>
        <v>4596.5</v>
      </c>
      <c r="E39" s="48"/>
      <c r="F39" s="68">
        <f>ROUNDUP($D$34-D39,-2)</f>
        <v>13800</v>
      </c>
      <c r="G39" s="38"/>
    </row>
    <row r="40" spans="2:7" ht="27.75">
      <c r="B40" s="45"/>
      <c r="C40" s="46"/>
      <c r="D40" s="70"/>
      <c r="E40" s="48"/>
      <c r="F40" s="71"/>
      <c r="G40" s="38"/>
    </row>
    <row r="41" spans="2:7" ht="27.75">
      <c r="B41" s="45"/>
      <c r="C41" s="46">
        <v>0.3</v>
      </c>
      <c r="D41" s="67">
        <f>$D$34*C41</f>
        <v>5515.8</v>
      </c>
      <c r="E41" s="48"/>
      <c r="F41" s="68">
        <f>ROUNDUP($D$34-D41,-2)</f>
        <v>12900</v>
      </c>
      <c r="G41" s="38"/>
    </row>
    <row r="42" spans="2:7" ht="27.75">
      <c r="B42" s="45"/>
      <c r="C42" s="46"/>
      <c r="D42" s="67"/>
      <c r="E42" s="48"/>
      <c r="F42" s="71"/>
      <c r="G42" s="38"/>
    </row>
    <row r="43" spans="2:7" ht="27.75">
      <c r="B43" s="45"/>
      <c r="C43" s="46">
        <v>0.35</v>
      </c>
      <c r="D43" s="67">
        <f>$D$34*C43</f>
        <v>6435.0999999999995</v>
      </c>
      <c r="E43" s="48"/>
      <c r="F43" s="68">
        <f>ROUNDUP($D$34-D43,-2)</f>
        <v>12000</v>
      </c>
      <c r="G43" s="38"/>
    </row>
    <row r="44" spans="2:7" ht="30">
      <c r="B44" s="15"/>
      <c r="C44" s="15"/>
      <c r="D44" s="47"/>
      <c r="E44" s="50"/>
      <c r="F44" s="72"/>
      <c r="G44" s="38"/>
    </row>
    <row r="45" spans="2:7" ht="27.75">
      <c r="B45" s="52"/>
      <c r="C45" s="46">
        <v>0.4</v>
      </c>
      <c r="D45" s="67">
        <f>$D$34*C45</f>
        <v>7354.4000000000005</v>
      </c>
      <c r="E45" s="48"/>
      <c r="F45" s="68">
        <f>ROUNDUP($D$34-D45,-2)</f>
        <v>11100</v>
      </c>
      <c r="G45" s="38"/>
    </row>
    <row r="46" spans="2:7" ht="12.75">
      <c r="B46" s="15"/>
      <c r="C46" s="15"/>
      <c r="D46" s="50"/>
      <c r="E46" s="50"/>
      <c r="F46" s="72"/>
      <c r="G46" s="38"/>
    </row>
    <row r="47" spans="2:7" ht="27.75">
      <c r="B47" s="54"/>
      <c r="C47" s="46">
        <v>0.5</v>
      </c>
      <c r="D47" s="67">
        <f>$D$34*C47</f>
        <v>9193</v>
      </c>
      <c r="E47" s="48"/>
      <c r="F47" s="68">
        <f>ROUNDUP($D$34-D47,-2)</f>
        <v>9200</v>
      </c>
      <c r="G47" s="38"/>
    </row>
    <row r="48" spans="2:7" ht="27.75">
      <c r="B48" s="54"/>
      <c r="C48" s="46"/>
      <c r="D48" s="67"/>
      <c r="E48" s="48"/>
      <c r="F48" s="71"/>
      <c r="G48" s="38"/>
    </row>
    <row r="49" spans="2:7" ht="27.75">
      <c r="B49" s="54"/>
      <c r="C49" s="46">
        <v>0.55000000000000004</v>
      </c>
      <c r="D49" s="67">
        <f>$D$34*C49</f>
        <v>10112.300000000001</v>
      </c>
      <c r="E49" s="48"/>
      <c r="F49" s="68">
        <f>ROUNDUP($D$34-D49,-2)</f>
        <v>8300</v>
      </c>
      <c r="G49" s="38"/>
    </row>
    <row r="50" spans="2:7" ht="12.75">
      <c r="B50" s="15"/>
      <c r="C50" s="15"/>
      <c r="D50" s="15"/>
      <c r="E50" s="15"/>
      <c r="F50" s="75"/>
      <c r="G50" s="38"/>
    </row>
    <row r="51" spans="2:7" ht="27.75">
      <c r="B51" s="56"/>
      <c r="C51" s="46">
        <v>0.6</v>
      </c>
      <c r="D51" s="67">
        <f>$D$34*C51</f>
        <v>11031.6</v>
      </c>
      <c r="E51" s="48"/>
      <c r="F51" s="68">
        <f>ROUNDUP($D$34-D51,-2)</f>
        <v>7400</v>
      </c>
      <c r="G51" s="38"/>
    </row>
    <row r="52" spans="2:7" ht="14.25">
      <c r="B52" s="58"/>
      <c r="C52" s="15"/>
      <c r="D52" s="15"/>
      <c r="E52" s="15"/>
      <c r="F52" s="38"/>
      <c r="G52" s="38"/>
    </row>
    <row r="53" spans="2:7" ht="27.75">
      <c r="B53" s="56"/>
      <c r="C53" s="46">
        <v>0.7</v>
      </c>
      <c r="D53" s="67">
        <f>$D$34*C53</f>
        <v>12870.199999999999</v>
      </c>
      <c r="E53" s="48"/>
      <c r="F53" s="68">
        <f>ROUNDUP($D$34-D53,-2)</f>
        <v>5600</v>
      </c>
      <c r="G53" s="38"/>
    </row>
    <row r="54" spans="2:7" ht="12.75">
      <c r="B54" s="15"/>
      <c r="C54" s="15"/>
      <c r="D54" s="15"/>
      <c r="E54" s="15"/>
      <c r="F54" s="38"/>
      <c r="G54" s="38"/>
    </row>
    <row r="55" spans="2:7" ht="27.75">
      <c r="B55" s="56"/>
      <c r="C55" s="46">
        <v>0.8</v>
      </c>
      <c r="D55" s="67">
        <f>$D$34*C55</f>
        <v>14708.800000000001</v>
      </c>
      <c r="E55" s="48"/>
      <c r="F55" s="68">
        <f>ROUNDUP($D$34-D55,-2)</f>
        <v>3700</v>
      </c>
      <c r="G55" s="38"/>
    </row>
    <row r="56" spans="2:7" ht="12.75">
      <c r="B56" s="77"/>
      <c r="C56" s="77"/>
      <c r="D56" s="77"/>
      <c r="E56" s="77"/>
      <c r="F56" s="78"/>
      <c r="G56" s="38"/>
    </row>
    <row r="60" spans="2:7" ht="12.75">
      <c r="B60" s="80"/>
      <c r="C60" s="80"/>
      <c r="D60" s="80"/>
      <c r="E60" s="80"/>
      <c r="F60" s="80"/>
      <c r="G60" s="80"/>
    </row>
    <row r="61" spans="2:7" ht="14.25">
      <c r="B61" s="31">
        <v>12198.97</v>
      </c>
      <c r="C61" s="15"/>
      <c r="D61" s="105">
        <v>18386</v>
      </c>
      <c r="E61" s="15"/>
      <c r="F61" s="15"/>
      <c r="G61" s="38"/>
    </row>
    <row r="62" spans="2:7" ht="46.5">
      <c r="B62" s="35" t="s">
        <v>24</v>
      </c>
      <c r="C62" s="36"/>
      <c r="D62" s="106"/>
      <c r="E62" s="36"/>
      <c r="F62" s="36"/>
      <c r="G62" s="38"/>
    </row>
    <row r="63" spans="2:7" ht="23.25">
      <c r="B63" s="35"/>
      <c r="C63" s="42"/>
      <c r="D63" s="60"/>
      <c r="E63" s="15"/>
      <c r="F63" s="42"/>
      <c r="G63" s="38"/>
    </row>
    <row r="64" spans="2:7" ht="29.25">
      <c r="B64" s="45"/>
      <c r="C64" s="46"/>
      <c r="D64" s="65" t="s">
        <v>29</v>
      </c>
      <c r="E64" s="48"/>
      <c r="F64" s="66" t="s">
        <v>30</v>
      </c>
      <c r="G64" s="38"/>
    </row>
    <row r="65" spans="2:7" ht="27.75">
      <c r="B65" s="45"/>
      <c r="C65" s="46">
        <v>0.1</v>
      </c>
      <c r="D65" s="67">
        <f>$D$61*C65</f>
        <v>1838.6000000000001</v>
      </c>
      <c r="E65" s="48"/>
      <c r="F65" s="68">
        <f>ROUNDUP($D$61-D65,-2)</f>
        <v>16600</v>
      </c>
      <c r="G65" s="38"/>
    </row>
    <row r="66" spans="2:7" ht="23.25">
      <c r="B66" s="45"/>
      <c r="C66" s="46"/>
      <c r="D66" s="70"/>
      <c r="E66" s="70"/>
      <c r="F66" s="70"/>
      <c r="G66" s="38"/>
    </row>
    <row r="67" spans="2:7" ht="27.75">
      <c r="B67" s="45"/>
      <c r="C67" s="46">
        <v>0.25</v>
      </c>
      <c r="D67" s="67">
        <f>$D$61*C67</f>
        <v>4596.5</v>
      </c>
      <c r="E67" s="48"/>
      <c r="F67" s="68">
        <f>ROUNDUP($D$61-D67,-2)</f>
        <v>13800</v>
      </c>
      <c r="G67" s="38"/>
    </row>
    <row r="68" spans="2:7" ht="27.75">
      <c r="B68" s="45"/>
      <c r="C68" s="46"/>
      <c r="D68" s="70"/>
      <c r="E68" s="48"/>
      <c r="F68" s="71"/>
      <c r="G68" s="38"/>
    </row>
    <row r="69" spans="2:7" ht="27.75">
      <c r="B69" s="45"/>
      <c r="C69" s="46">
        <v>0.3</v>
      </c>
      <c r="D69" s="67">
        <f>$D$61*C69</f>
        <v>5515.8</v>
      </c>
      <c r="E69" s="48"/>
      <c r="F69" s="68">
        <f>ROUNDUP($D$61-D69,-2)</f>
        <v>12900</v>
      </c>
      <c r="G69" s="38"/>
    </row>
    <row r="70" spans="2:7" ht="27.75">
      <c r="B70" s="45"/>
      <c r="C70" s="46"/>
      <c r="D70" s="67"/>
      <c r="E70" s="48"/>
      <c r="F70" s="71"/>
      <c r="G70" s="38"/>
    </row>
    <row r="71" spans="2:7" ht="27.75">
      <c r="B71" s="45"/>
      <c r="C71" s="46">
        <v>0.35</v>
      </c>
      <c r="D71" s="67">
        <f>$D$61*C71</f>
        <v>6435.0999999999995</v>
      </c>
      <c r="E71" s="48"/>
      <c r="F71" s="68">
        <f>ROUNDUP($D$61-D71,-2)</f>
        <v>12000</v>
      </c>
      <c r="G71" s="38"/>
    </row>
    <row r="72" spans="2:7" ht="30">
      <c r="B72" s="15"/>
      <c r="C72" s="15"/>
      <c r="D72" s="47"/>
      <c r="E72" s="50"/>
      <c r="F72" s="72"/>
      <c r="G72" s="38"/>
    </row>
    <row r="73" spans="2:7" ht="27.75">
      <c r="B73" s="52"/>
      <c r="C73" s="46">
        <v>0.4</v>
      </c>
      <c r="D73" s="67">
        <f>$D$61*C73</f>
        <v>7354.4000000000005</v>
      </c>
      <c r="E73" s="48"/>
      <c r="F73" s="68">
        <f>ROUNDUP($D$61-D73,-2)</f>
        <v>11100</v>
      </c>
      <c r="G73" s="38"/>
    </row>
    <row r="74" spans="2:7" ht="12.75">
      <c r="B74" s="15"/>
      <c r="C74" s="15"/>
      <c r="D74" s="50"/>
      <c r="E74" s="50"/>
      <c r="F74" s="72"/>
      <c r="G74" s="38"/>
    </row>
    <row r="75" spans="2:7" ht="27.75">
      <c r="B75" s="54"/>
      <c r="C75" s="46">
        <v>0.5</v>
      </c>
      <c r="D75" s="67">
        <f>$D$61*C75</f>
        <v>9193</v>
      </c>
      <c r="E75" s="48"/>
      <c r="F75" s="68">
        <f>ROUNDUP($D$61-D75,-2)</f>
        <v>9200</v>
      </c>
      <c r="G75" s="38"/>
    </row>
    <row r="76" spans="2:7" ht="27.75">
      <c r="B76" s="54"/>
      <c r="C76" s="46"/>
      <c r="D76" s="67"/>
      <c r="E76" s="48"/>
      <c r="F76" s="71"/>
      <c r="G76" s="38"/>
    </row>
    <row r="77" spans="2:7" ht="27.75">
      <c r="B77" s="54"/>
      <c r="C77" s="46">
        <v>0.55000000000000004</v>
      </c>
      <c r="D77" s="67">
        <f>$D$61*C77</f>
        <v>10112.300000000001</v>
      </c>
      <c r="E77" s="48"/>
      <c r="F77" s="68">
        <f>ROUNDUP($D$61-D77,-2)</f>
        <v>8300</v>
      </c>
      <c r="G77" s="38"/>
    </row>
    <row r="78" spans="2:7" ht="12.75">
      <c r="B78" s="15"/>
      <c r="C78" s="15"/>
      <c r="D78" s="15"/>
      <c r="E78" s="15"/>
      <c r="F78" s="75"/>
      <c r="G78" s="38"/>
    </row>
    <row r="79" spans="2:7" ht="27.75">
      <c r="B79" s="56"/>
      <c r="C79" s="46">
        <v>0.6</v>
      </c>
      <c r="D79" s="67">
        <f>$D$61*C79</f>
        <v>11031.6</v>
      </c>
      <c r="E79" s="48"/>
      <c r="F79" s="68">
        <f>ROUNDUP($D$61-D79,-2)</f>
        <v>7400</v>
      </c>
      <c r="G79" s="15"/>
    </row>
    <row r="80" spans="2:7" ht="14.25">
      <c r="B80" s="58"/>
      <c r="C80" s="15"/>
      <c r="D80" s="15"/>
      <c r="E80" s="15"/>
      <c r="F80" s="38"/>
      <c r="G80" s="15"/>
    </row>
    <row r="81" spans="2:7" ht="27.75">
      <c r="B81" s="56"/>
      <c r="C81" s="46">
        <v>0.7</v>
      </c>
      <c r="D81" s="67">
        <f>$D$61*C81</f>
        <v>12870.199999999999</v>
      </c>
      <c r="E81" s="48"/>
      <c r="F81" s="68">
        <f>ROUNDUP($D$61-D81,-2)</f>
        <v>5600</v>
      </c>
      <c r="G81" s="15"/>
    </row>
    <row r="82" spans="2:7" ht="12.75">
      <c r="B82" s="15"/>
      <c r="C82" s="15"/>
      <c r="D82" s="15"/>
      <c r="E82" s="15"/>
      <c r="F82" s="38"/>
      <c r="G82" s="15"/>
    </row>
    <row r="83" spans="2:7" ht="27.75">
      <c r="B83" s="56"/>
      <c r="C83" s="46">
        <v>0.8</v>
      </c>
      <c r="D83" s="67">
        <f>$D$61*C83</f>
        <v>14708.800000000001</v>
      </c>
      <c r="E83" s="48"/>
      <c r="F83" s="68">
        <f>ROUNDUP($D$61-D83,-2)</f>
        <v>3700</v>
      </c>
      <c r="G83" s="15"/>
    </row>
    <row r="84" spans="2:7" ht="12.75">
      <c r="B84" s="77"/>
      <c r="C84" s="77"/>
      <c r="D84" s="77"/>
      <c r="E84" s="77"/>
      <c r="F84" s="78"/>
      <c r="G84" s="77"/>
    </row>
    <row r="89" spans="2:7" ht="14.25">
      <c r="B89" s="31">
        <v>12198.97</v>
      </c>
      <c r="C89" s="15"/>
      <c r="D89" s="32">
        <v>8304.1200000000008</v>
      </c>
      <c r="E89" s="15"/>
      <c r="F89" s="15"/>
      <c r="G89" s="15"/>
    </row>
    <row r="90" spans="2:7" ht="46.5">
      <c r="B90" s="35" t="s">
        <v>24</v>
      </c>
      <c r="C90" s="36"/>
      <c r="D90" s="107"/>
      <c r="E90" s="36"/>
      <c r="F90" s="36"/>
      <c r="G90" s="38"/>
    </row>
    <row r="91" spans="2:7" ht="23.25">
      <c r="B91" s="35"/>
      <c r="C91" s="42"/>
      <c r="D91" s="106"/>
      <c r="E91" s="15"/>
      <c r="F91" s="42"/>
      <c r="G91" s="36" t="s">
        <v>25</v>
      </c>
    </row>
    <row r="92" spans="2:7" ht="30">
      <c r="B92" s="45"/>
      <c r="C92" s="46"/>
      <c r="D92" s="65" t="s">
        <v>29</v>
      </c>
      <c r="E92" s="48"/>
      <c r="F92" s="66" t="s">
        <v>30</v>
      </c>
      <c r="G92" s="47"/>
    </row>
    <row r="93" spans="2:7" ht="30">
      <c r="B93" s="45"/>
      <c r="C93" s="46">
        <v>0.1</v>
      </c>
      <c r="D93" s="67">
        <f>$D$90*C93</f>
        <v>0</v>
      </c>
      <c r="E93" s="48"/>
      <c r="F93" s="68">
        <f>ROUNDUP($D$90-D93,-2)</f>
        <v>0</v>
      </c>
      <c r="G93" s="47"/>
    </row>
    <row r="94" spans="2:7" ht="23.25">
      <c r="B94" s="45"/>
      <c r="C94" s="46"/>
      <c r="D94" s="70"/>
      <c r="E94" s="70"/>
      <c r="F94" s="70"/>
      <c r="G94" s="70"/>
    </row>
    <row r="95" spans="2:7" ht="30">
      <c r="B95" s="45"/>
      <c r="C95" s="46">
        <v>0.25</v>
      </c>
      <c r="D95" s="67">
        <f>$D$90*C95</f>
        <v>0</v>
      </c>
      <c r="E95" s="48"/>
      <c r="F95" s="68">
        <f>ROUNDUP($D$90-D95,-2)</f>
        <v>0</v>
      </c>
      <c r="G95" s="47"/>
    </row>
    <row r="96" spans="2:7" ht="30">
      <c r="B96" s="45"/>
      <c r="C96" s="46"/>
      <c r="D96" s="70"/>
      <c r="E96" s="48"/>
      <c r="F96" s="71"/>
      <c r="G96" s="47"/>
    </row>
    <row r="97" spans="2:7" ht="30">
      <c r="B97" s="45"/>
      <c r="C97" s="46">
        <v>0.3</v>
      </c>
      <c r="D97" s="67">
        <f>$D$90*C97</f>
        <v>0</v>
      </c>
      <c r="E97" s="48"/>
      <c r="F97" s="68">
        <f>ROUNDUP($D$90-D97,-2)</f>
        <v>0</v>
      </c>
      <c r="G97" s="47"/>
    </row>
    <row r="98" spans="2:7" ht="30">
      <c r="B98" s="45"/>
      <c r="C98" s="46"/>
      <c r="D98" s="67"/>
      <c r="E98" s="48"/>
      <c r="F98" s="71"/>
      <c r="G98" s="47"/>
    </row>
    <row r="99" spans="2:7" ht="30">
      <c r="B99" s="45"/>
      <c r="C99" s="46">
        <v>0.35</v>
      </c>
      <c r="D99" s="67">
        <f>$D$90*C99</f>
        <v>0</v>
      </c>
      <c r="E99" s="48"/>
      <c r="F99" s="68">
        <f>ROUNDUP($D$90-D99,-2)</f>
        <v>0</v>
      </c>
      <c r="G99" s="47"/>
    </row>
    <row r="100" spans="2:7" ht="30">
      <c r="B100" s="15"/>
      <c r="C100" s="15"/>
      <c r="D100" s="47"/>
      <c r="E100" s="50"/>
      <c r="F100" s="72"/>
      <c r="G100" s="51"/>
    </row>
    <row r="101" spans="2:7" ht="30">
      <c r="B101" s="52"/>
      <c r="C101" s="46">
        <v>0.4</v>
      </c>
      <c r="D101" s="67">
        <f>$D$90*C101</f>
        <v>0</v>
      </c>
      <c r="E101" s="48"/>
      <c r="F101" s="68">
        <f>ROUNDUP($D$90-D101,-2)</f>
        <v>0</v>
      </c>
      <c r="G101" s="51" t="str">
        <f>IF($C90&gt;$H$3,ROUNDUP($C90*$E101,-2),"")</f>
        <v/>
      </c>
    </row>
    <row r="102" spans="2:7" ht="30">
      <c r="B102" s="15"/>
      <c r="C102" s="15"/>
      <c r="D102" s="50"/>
      <c r="E102" s="50"/>
      <c r="F102" s="72"/>
      <c r="G102" s="51"/>
    </row>
    <row r="103" spans="2:7" ht="30">
      <c r="B103" s="54"/>
      <c r="C103" s="46">
        <v>0.5</v>
      </c>
      <c r="D103" s="67">
        <f>$D$90*C103</f>
        <v>0</v>
      </c>
      <c r="E103" s="48"/>
      <c r="F103" s="68">
        <f>ROUNDUP($D$90-D103,-2)</f>
        <v>0</v>
      </c>
      <c r="G103" s="51" t="str">
        <f>IF($C90&gt;$H$3,ROUNDUP($C90*$E103,-2),"")</f>
        <v/>
      </c>
    </row>
    <row r="104" spans="2:7" ht="30">
      <c r="B104" s="54"/>
      <c r="C104" s="46"/>
      <c r="D104" s="67"/>
      <c r="E104" s="48"/>
      <c r="F104" s="71"/>
      <c r="G104" s="51"/>
    </row>
    <row r="105" spans="2:7" ht="30">
      <c r="B105" s="54"/>
      <c r="C105" s="46">
        <v>0.55000000000000004</v>
      </c>
      <c r="D105" s="67">
        <f>$D$90*C105</f>
        <v>0</v>
      </c>
      <c r="E105" s="48"/>
      <c r="F105" s="68">
        <f>ROUNDUP($D$90-D105,-2)</f>
        <v>0</v>
      </c>
      <c r="G105" s="51"/>
    </row>
    <row r="106" spans="2:7" ht="12.75">
      <c r="B106" s="15"/>
      <c r="C106" s="15"/>
      <c r="D106" s="15"/>
      <c r="E106" s="15"/>
      <c r="F106" s="75"/>
      <c r="G106" s="15"/>
    </row>
    <row r="107" spans="2:7" ht="27.75">
      <c r="B107" s="56"/>
      <c r="C107" s="46">
        <v>0.6</v>
      </c>
      <c r="D107" s="67">
        <f>$D$90*C107</f>
        <v>0</v>
      </c>
      <c r="E107" s="48"/>
      <c r="F107" s="68">
        <f>ROUNDUP($D$90-D107,-2)</f>
        <v>0</v>
      </c>
      <c r="G107" s="15"/>
    </row>
    <row r="108" spans="2:7" ht="14.25">
      <c r="B108" s="58"/>
      <c r="C108" s="15"/>
      <c r="D108" s="15"/>
      <c r="E108" s="15"/>
      <c r="F108" s="38"/>
      <c r="G108" s="15"/>
    </row>
    <row r="109" spans="2:7" ht="27.75">
      <c r="B109" s="56"/>
      <c r="C109" s="46">
        <v>0.7</v>
      </c>
      <c r="D109" s="67">
        <f>$D$90*C109</f>
        <v>0</v>
      </c>
      <c r="E109" s="48"/>
      <c r="F109" s="68">
        <f>ROUNDUP($D$90-D109,-2)</f>
        <v>0</v>
      </c>
      <c r="G109" s="15"/>
    </row>
    <row r="110" spans="2:7" ht="12.75">
      <c r="B110" s="15"/>
      <c r="C110" s="15"/>
      <c r="D110" s="15"/>
      <c r="E110" s="15"/>
      <c r="F110" s="38"/>
      <c r="G110" s="15"/>
    </row>
    <row r="111" spans="2:7" ht="27.75">
      <c r="B111" s="56"/>
      <c r="C111" s="46">
        <v>0.8</v>
      </c>
      <c r="D111" s="67">
        <f>$D$90*C111</f>
        <v>0</v>
      </c>
      <c r="E111" s="48"/>
      <c r="F111" s="68">
        <f>ROUNDUP($D$90-D111,-2)</f>
        <v>0</v>
      </c>
      <c r="G111" s="15"/>
    </row>
    <row r="112" spans="2:7" ht="12.75">
      <c r="B112" s="77"/>
      <c r="C112" s="77"/>
      <c r="D112" s="77"/>
      <c r="E112" s="77"/>
      <c r="F112" s="78"/>
      <c r="G112" s="77"/>
    </row>
  </sheetData>
  <mergeCells count="4">
    <mergeCell ref="D61:D62"/>
    <mergeCell ref="D90:D91"/>
    <mergeCell ref="D4:D5"/>
    <mergeCell ref="D34:D3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63"/>
  <sheetViews>
    <sheetView showGridLines="0" workbookViewId="0"/>
  </sheetViews>
  <sheetFormatPr defaultColWidth="12.5703125" defaultRowHeight="15" customHeight="1"/>
  <cols>
    <col min="1" max="1" width="30.42578125" customWidth="1"/>
    <col min="2" max="2" width="12.7109375" customWidth="1"/>
    <col min="3" max="3" width="23.28515625" customWidth="1"/>
    <col min="4" max="4" width="6.7109375" customWidth="1"/>
    <col min="5" max="5" width="10.7109375" customWidth="1"/>
    <col min="6" max="6" width="18.7109375" customWidth="1"/>
    <col min="7" max="7" width="7" customWidth="1"/>
    <col min="8" max="11" width="12.5703125" hidden="1"/>
  </cols>
  <sheetData>
    <row r="1" spans="1:26" ht="12.75">
      <c r="A1" s="9"/>
      <c r="B1" s="9"/>
      <c r="C1" s="9"/>
      <c r="D1" s="9"/>
      <c r="E1" s="9"/>
      <c r="F1" s="9"/>
      <c r="G1" s="9"/>
      <c r="H1" s="9"/>
      <c r="I1" s="30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25">
      <c r="A2" s="31">
        <v>12198.97</v>
      </c>
      <c r="B2" s="15"/>
      <c r="C2" s="32">
        <v>8304.1200000000008</v>
      </c>
      <c r="D2" s="15"/>
      <c r="E2" s="15"/>
      <c r="F2" s="15"/>
      <c r="G2" s="15"/>
      <c r="H2" s="9"/>
      <c r="I2" s="34" t="s">
        <v>31</v>
      </c>
      <c r="J2" s="9" t="s">
        <v>32</v>
      </c>
      <c r="K2" s="9" t="s">
        <v>33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 customHeight="1">
      <c r="A3" s="35" t="s">
        <v>24</v>
      </c>
      <c r="B3" s="36"/>
      <c r="C3" s="81">
        <v>10000</v>
      </c>
      <c r="D3" s="36"/>
      <c r="E3" s="36"/>
      <c r="F3" s="38"/>
      <c r="G3" s="59"/>
      <c r="H3" s="40">
        <v>999</v>
      </c>
      <c r="I3" s="28">
        <v>0.5</v>
      </c>
      <c r="J3" s="28">
        <v>0.35</v>
      </c>
      <c r="K3" s="28">
        <v>0.2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>
      <c r="A4" s="35"/>
      <c r="B4" s="42"/>
      <c r="C4" s="82"/>
      <c r="D4" s="15"/>
      <c r="E4" s="42"/>
      <c r="F4" s="36" t="s">
        <v>25</v>
      </c>
      <c r="G4" s="61"/>
      <c r="H4" s="40">
        <v>3000</v>
      </c>
      <c r="I4" s="28">
        <v>0.5</v>
      </c>
      <c r="J4" s="28">
        <v>0.35</v>
      </c>
      <c r="K4" s="28">
        <v>0.2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83" t="s">
        <v>15</v>
      </c>
      <c r="B5" s="46">
        <v>0.5</v>
      </c>
      <c r="C5" s="47">
        <f>IF($C3&gt;$H$3,ROUNDUP($C3*$B5,-2),C3)</f>
        <v>5000</v>
      </c>
      <c r="D5" s="48"/>
      <c r="E5" s="49"/>
      <c r="F5" s="47"/>
      <c r="G5" s="15"/>
      <c r="H5" s="40">
        <v>5000</v>
      </c>
      <c r="I5" s="28">
        <v>0.5</v>
      </c>
      <c r="J5" s="28">
        <v>0.3</v>
      </c>
      <c r="K5" s="28">
        <v>0.15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" customHeight="1">
      <c r="A6" s="84"/>
      <c r="B6" s="15"/>
      <c r="C6" s="50"/>
      <c r="D6" s="50"/>
      <c r="E6" s="50"/>
      <c r="F6" s="51"/>
      <c r="G6" s="15" t="s">
        <v>19</v>
      </c>
      <c r="H6" s="40">
        <v>7500</v>
      </c>
      <c r="I6" s="28">
        <v>0.5</v>
      </c>
      <c r="J6" s="28">
        <v>0.3</v>
      </c>
      <c r="K6" s="28">
        <v>0.15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" customHeight="1">
      <c r="A7" s="85" t="s">
        <v>16</v>
      </c>
      <c r="B7" s="46">
        <v>0.35</v>
      </c>
      <c r="C7" s="47">
        <f>IF($C3&gt;$H$3,ROUNDUP($C3*$B7,-2),C3)</f>
        <v>3500</v>
      </c>
      <c r="D7" s="48"/>
      <c r="E7" s="53">
        <v>0.3</v>
      </c>
      <c r="F7" s="51">
        <f>IF($C3&gt;$H$3,ROUNDUP($C3*$E7,-2),"")</f>
        <v>3000</v>
      </c>
      <c r="G7" s="15"/>
      <c r="H7" s="40">
        <v>10000</v>
      </c>
      <c r="I7" s="28">
        <v>0.5</v>
      </c>
      <c r="J7" s="28">
        <v>0.3</v>
      </c>
      <c r="K7" s="28">
        <v>0.15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" customHeight="1">
      <c r="A8" s="84"/>
      <c r="B8" s="15"/>
      <c r="C8" s="50"/>
      <c r="D8" s="50"/>
      <c r="E8" s="50"/>
      <c r="F8" s="51"/>
      <c r="G8" s="15"/>
      <c r="H8" s="9"/>
      <c r="I8" s="30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 customHeight="1">
      <c r="A9" s="86" t="s">
        <v>17</v>
      </c>
      <c r="B9" s="46">
        <v>0.2</v>
      </c>
      <c r="C9" s="47">
        <f>IF($C3&gt;$H$3,ROUNDUP($C3*$B9,-2),C3)</f>
        <v>2000</v>
      </c>
      <c r="D9" s="48"/>
      <c r="E9" s="53">
        <v>0.15</v>
      </c>
      <c r="F9" s="51">
        <f>IF($C3&gt;$H$3,ROUNDUP($C3*$E9,-2),"")</f>
        <v>1500</v>
      </c>
      <c r="G9" s="15"/>
      <c r="H9" s="9"/>
      <c r="I9" s="30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.75">
      <c r="A10" s="15"/>
      <c r="B10" s="15"/>
      <c r="C10" s="15"/>
      <c r="D10" s="15"/>
      <c r="E10" s="15"/>
      <c r="F10" s="15"/>
      <c r="G10" s="15"/>
      <c r="H10" s="9"/>
      <c r="I10" s="30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.75">
      <c r="A11" s="56"/>
      <c r="B11" s="15"/>
      <c r="C11" s="15">
        <v>1000</v>
      </c>
      <c r="D11" s="15"/>
      <c r="E11" s="15"/>
      <c r="F11" s="15"/>
      <c r="G11" s="15"/>
      <c r="H11" s="9"/>
      <c r="I11" s="3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>
      <c r="A12" s="58" t="s">
        <v>27</v>
      </c>
      <c r="B12" s="15"/>
      <c r="C12" s="15"/>
      <c r="D12" s="15"/>
      <c r="E12" s="15"/>
      <c r="F12" s="15"/>
      <c r="G12" s="15"/>
      <c r="H12" s="9"/>
      <c r="I12" s="30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.75">
      <c r="A13" s="15"/>
      <c r="B13" s="15"/>
      <c r="C13" s="15"/>
      <c r="D13" s="15"/>
      <c r="E13" s="15"/>
      <c r="F13" s="15"/>
      <c r="G13" s="15"/>
      <c r="H13" s="9"/>
      <c r="I13" s="30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.75">
      <c r="A14" s="15"/>
      <c r="B14" s="15"/>
      <c r="C14" s="15"/>
      <c r="D14" s="15"/>
      <c r="E14" s="15"/>
      <c r="F14" s="15"/>
      <c r="G14" s="15"/>
      <c r="H14" s="9"/>
      <c r="I14" s="30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.75">
      <c r="A15" s="9"/>
      <c r="B15" s="9"/>
      <c r="C15" s="9"/>
      <c r="D15" s="9"/>
      <c r="E15" s="9"/>
      <c r="F15" s="9"/>
      <c r="G15" s="9"/>
      <c r="H15" s="9"/>
      <c r="I15" s="30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.75">
      <c r="A16" s="9"/>
      <c r="B16" s="9"/>
      <c r="C16" s="9"/>
      <c r="D16" s="9"/>
      <c r="E16" s="9"/>
      <c r="F16" s="9"/>
      <c r="G16" s="9"/>
      <c r="H16" s="9"/>
      <c r="I16" s="30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>
      <c r="A17" s="31">
        <v>12198.97</v>
      </c>
      <c r="B17" s="15"/>
      <c r="C17" s="32">
        <v>8304.1200000000008</v>
      </c>
      <c r="D17" s="15"/>
      <c r="E17" s="15"/>
      <c r="F17" s="15"/>
      <c r="G17" s="15"/>
      <c r="H17" s="9"/>
      <c r="I17" s="30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" customHeight="1">
      <c r="A18" s="35" t="s">
        <v>24</v>
      </c>
      <c r="B18" s="36"/>
      <c r="C18" s="81">
        <v>3000</v>
      </c>
      <c r="D18" s="36"/>
      <c r="E18" s="36"/>
      <c r="F18" s="38"/>
      <c r="G18" s="59"/>
      <c r="H18" s="9"/>
      <c r="I18" s="30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" customHeight="1">
      <c r="A19" s="35"/>
      <c r="B19" s="42"/>
      <c r="C19" s="82"/>
      <c r="D19" s="15"/>
      <c r="E19" s="42"/>
      <c r="F19" s="36" t="s">
        <v>25</v>
      </c>
      <c r="G19" s="61"/>
      <c r="H19" s="9"/>
      <c r="I19" s="30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" customHeight="1">
      <c r="A20" s="83" t="s">
        <v>15</v>
      </c>
      <c r="B20" s="46">
        <v>0.5</v>
      </c>
      <c r="C20" s="47">
        <f>IF($C18&gt;$H$3,ROUNDUP($C18*$B20,-2),C18)</f>
        <v>1500</v>
      </c>
      <c r="D20" s="48"/>
      <c r="E20" s="49"/>
      <c r="F20" s="47"/>
      <c r="G20" s="15"/>
      <c r="H20" s="9"/>
      <c r="I20" s="30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" customHeight="1">
      <c r="A21" s="84"/>
      <c r="B21" s="15"/>
      <c r="C21" s="50"/>
      <c r="D21" s="50"/>
      <c r="E21" s="50"/>
      <c r="F21" s="51"/>
      <c r="G21" s="15" t="s">
        <v>19</v>
      </c>
      <c r="H21" s="9"/>
      <c r="I21" s="30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" customHeight="1">
      <c r="A22" s="85" t="s">
        <v>16</v>
      </c>
      <c r="B22" s="46">
        <v>0.35</v>
      </c>
      <c r="C22" s="47">
        <f>IF($C18&gt;$H$3,ROUNDUP($C18*$B22,-2),C18)</f>
        <v>1100</v>
      </c>
      <c r="D22" s="48"/>
      <c r="E22" s="53">
        <v>0.3</v>
      </c>
      <c r="F22" s="51">
        <f>IF($C18&gt;$H$3,ROUNDUP($C18*$E22,-2),"")</f>
        <v>900</v>
      </c>
      <c r="G22" s="15"/>
      <c r="H22" s="9"/>
      <c r="I22" s="30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" customHeight="1">
      <c r="A23" s="84"/>
      <c r="B23" s="15"/>
      <c r="C23" s="50"/>
      <c r="D23" s="50"/>
      <c r="E23" s="50"/>
      <c r="F23" s="51"/>
      <c r="G23" s="15"/>
      <c r="H23" s="9"/>
      <c r="I23" s="30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" customHeight="1">
      <c r="A24" s="86" t="s">
        <v>17</v>
      </c>
      <c r="B24" s="46">
        <v>0.2</v>
      </c>
      <c r="C24" s="47">
        <f>IF($C18&gt;$H$3,ROUNDUP($C18*$B24,-2),C18)</f>
        <v>600</v>
      </c>
      <c r="D24" s="48"/>
      <c r="E24" s="53">
        <v>0.15</v>
      </c>
      <c r="F24" s="51">
        <f>IF($C18&gt;$H$3,ROUNDUP($C18*$E24,-2),"")</f>
        <v>500</v>
      </c>
      <c r="G24" s="15"/>
      <c r="H24" s="9"/>
      <c r="I24" s="30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.75">
      <c r="A25" s="15"/>
      <c r="B25" s="15"/>
      <c r="C25" s="15"/>
      <c r="D25" s="15"/>
      <c r="E25" s="15"/>
      <c r="F25" s="15"/>
      <c r="G25" s="15"/>
      <c r="H25" s="9"/>
      <c r="I25" s="30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>
      <c r="A26" s="56"/>
      <c r="B26" s="15"/>
      <c r="C26" s="15">
        <v>1000</v>
      </c>
      <c r="D26" s="15"/>
      <c r="E26" s="15"/>
      <c r="F26" s="15"/>
      <c r="G26" s="15"/>
      <c r="H26" s="9"/>
      <c r="I26" s="30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>
      <c r="A27" s="58" t="s">
        <v>27</v>
      </c>
      <c r="B27" s="15"/>
      <c r="C27" s="15"/>
      <c r="D27" s="15"/>
      <c r="E27" s="15"/>
      <c r="F27" s="15"/>
      <c r="G27" s="15"/>
      <c r="H27" s="9"/>
      <c r="I27" s="30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2.75">
      <c r="A28" s="15"/>
      <c r="B28" s="15"/>
      <c r="C28" s="15"/>
      <c r="D28" s="15"/>
      <c r="E28" s="15"/>
      <c r="F28" s="15"/>
      <c r="G28" s="15"/>
      <c r="H28" s="9"/>
      <c r="I28" s="3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2.75">
      <c r="A29" s="15"/>
      <c r="B29" s="15"/>
      <c r="C29" s="15"/>
      <c r="D29" s="15"/>
      <c r="E29" s="15"/>
      <c r="F29" s="15"/>
      <c r="G29" s="15"/>
      <c r="H29" s="9"/>
      <c r="I29" s="30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2.75">
      <c r="A30" s="9"/>
      <c r="B30" s="9"/>
      <c r="C30" s="9"/>
      <c r="D30" s="9"/>
      <c r="E30" s="9"/>
      <c r="F30" s="9"/>
      <c r="G30" s="9"/>
      <c r="H30" s="9"/>
      <c r="I30" s="3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>
      <c r="A31" s="9"/>
      <c r="B31" s="9"/>
      <c r="C31" s="9"/>
      <c r="D31" s="9"/>
      <c r="E31" s="9"/>
      <c r="F31" s="9"/>
      <c r="G31" s="9"/>
      <c r="H31" s="9"/>
      <c r="I31" s="30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>
      <c r="A32" s="31">
        <v>12198.97</v>
      </c>
      <c r="B32" s="15"/>
      <c r="C32" s="32">
        <v>8304.1200000000008</v>
      </c>
      <c r="D32" s="15"/>
      <c r="E32" s="15"/>
      <c r="F32" s="15"/>
      <c r="G32" s="15"/>
      <c r="H32" s="9"/>
      <c r="I32" s="30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" customHeight="1">
      <c r="A33" s="35" t="s">
        <v>24</v>
      </c>
      <c r="B33" s="36"/>
      <c r="C33" s="81">
        <v>18000</v>
      </c>
      <c r="D33" s="36"/>
      <c r="E33" s="36"/>
      <c r="F33" s="38"/>
      <c r="G33" s="59"/>
      <c r="H33" s="9"/>
      <c r="I33" s="30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23.25">
      <c r="A34" s="35"/>
      <c r="B34" s="42"/>
      <c r="C34" s="82"/>
      <c r="D34" s="15"/>
      <c r="E34" s="42"/>
      <c r="F34" s="36" t="s">
        <v>25</v>
      </c>
      <c r="G34" s="61"/>
      <c r="H34" s="9"/>
      <c r="I34" s="30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0">
      <c r="A35" s="83" t="s">
        <v>15</v>
      </c>
      <c r="B35" s="46">
        <v>0.5</v>
      </c>
      <c r="C35" s="47">
        <f>IF($C33&gt;$H$3,ROUNDUP($C33*$B35,-2),C33)</f>
        <v>9000</v>
      </c>
      <c r="D35" s="48"/>
      <c r="E35" s="49"/>
      <c r="F35" s="47"/>
      <c r="G35" s="15"/>
      <c r="H35" s="9"/>
      <c r="I35" s="30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0">
      <c r="A36" s="84"/>
      <c r="B36" s="15"/>
      <c r="C36" s="50"/>
      <c r="D36" s="50"/>
      <c r="E36" s="50"/>
      <c r="F36" s="51"/>
      <c r="G36" s="15" t="s">
        <v>19</v>
      </c>
      <c r="H36" s="9"/>
      <c r="I36" s="30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0">
      <c r="A37" s="85" t="s">
        <v>16</v>
      </c>
      <c r="B37" s="46">
        <v>0.35</v>
      </c>
      <c r="C37" s="47">
        <f>IF($C33&gt;$H$3,ROUNDUP($C33*$B37,-2),C33)</f>
        <v>6300</v>
      </c>
      <c r="D37" s="48"/>
      <c r="E37" s="53">
        <v>0.3</v>
      </c>
      <c r="F37" s="51">
        <f>IF($C33&gt;$H$3,ROUNDUP($C33*$E37,-2),"")</f>
        <v>5400</v>
      </c>
      <c r="G37" s="15"/>
      <c r="H37" s="9"/>
      <c r="I37" s="3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0">
      <c r="A38" s="84"/>
      <c r="B38" s="15"/>
      <c r="C38" s="50"/>
      <c r="D38" s="50"/>
      <c r="E38" s="50"/>
      <c r="F38" s="51"/>
      <c r="G38" s="15"/>
      <c r="H38" s="9"/>
      <c r="I38" s="30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0">
      <c r="A39" s="86" t="s">
        <v>17</v>
      </c>
      <c r="B39" s="46">
        <v>0.2</v>
      </c>
      <c r="C39" s="47">
        <f>IF($C33&gt;$H$3,ROUNDUP($C33*$B39,-2),C33)</f>
        <v>3600</v>
      </c>
      <c r="D39" s="48"/>
      <c r="E39" s="53">
        <v>0.15</v>
      </c>
      <c r="F39" s="51">
        <f>IF($C33&gt;$H$3,ROUNDUP($C33*$E39,-2),"")</f>
        <v>2700</v>
      </c>
      <c r="G39" s="15"/>
      <c r="H39" s="9"/>
      <c r="I39" s="30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.75">
      <c r="A40" s="15"/>
      <c r="B40" s="15"/>
      <c r="C40" s="15"/>
      <c r="D40" s="15"/>
      <c r="E40" s="15"/>
      <c r="F40" s="15"/>
      <c r="G40" s="15"/>
      <c r="H40" s="9"/>
      <c r="I40" s="30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.75">
      <c r="A41" s="56"/>
      <c r="B41" s="15"/>
      <c r="C41" s="15">
        <v>1000</v>
      </c>
      <c r="D41" s="15"/>
      <c r="E41" s="15"/>
      <c r="F41" s="15"/>
      <c r="G41" s="15"/>
      <c r="H41" s="9"/>
      <c r="I41" s="30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>
      <c r="A42" s="58" t="s">
        <v>27</v>
      </c>
      <c r="B42" s="15"/>
      <c r="C42" s="15"/>
      <c r="D42" s="15"/>
      <c r="E42" s="15"/>
      <c r="F42" s="15"/>
      <c r="G42" s="15"/>
      <c r="H42" s="9"/>
      <c r="I42" s="30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2.75">
      <c r="A43" s="15"/>
      <c r="B43" s="15"/>
      <c r="C43" s="15"/>
      <c r="D43" s="15"/>
      <c r="E43" s="15"/>
      <c r="F43" s="15"/>
      <c r="G43" s="15"/>
      <c r="H43" s="9"/>
      <c r="I43" s="30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.75">
      <c r="A44" s="15"/>
      <c r="B44" s="15"/>
      <c r="C44" s="15"/>
      <c r="D44" s="15"/>
      <c r="E44" s="15"/>
      <c r="F44" s="15"/>
      <c r="G44" s="15"/>
      <c r="H44" s="9"/>
      <c r="I44" s="30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.75">
      <c r="A45" s="9"/>
      <c r="B45" s="9"/>
      <c r="C45" s="9"/>
      <c r="D45" s="9"/>
      <c r="E45" s="9"/>
      <c r="F45" s="9"/>
      <c r="G45" s="9"/>
      <c r="H45" s="9"/>
      <c r="I45" s="30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.75">
      <c r="A46" s="9"/>
      <c r="B46" s="9"/>
      <c r="C46" s="9"/>
      <c r="D46" s="9"/>
      <c r="E46" s="9"/>
      <c r="F46" s="9"/>
      <c r="G46" s="9"/>
      <c r="H46" s="9"/>
      <c r="I46" s="30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>
      <c r="A47" s="31">
        <v>12198.97</v>
      </c>
      <c r="B47" s="15"/>
      <c r="C47" s="32">
        <v>8304.1200000000008</v>
      </c>
      <c r="D47" s="15"/>
      <c r="E47" s="15"/>
      <c r="F47" s="15"/>
      <c r="G47" s="15"/>
      <c r="H47" s="9"/>
      <c r="I47" s="30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29.25">
      <c r="A48" s="35" t="s">
        <v>24</v>
      </c>
      <c r="B48" s="36"/>
      <c r="C48" s="81">
        <v>1000</v>
      </c>
      <c r="D48" s="36"/>
      <c r="E48" s="36"/>
      <c r="F48" s="38"/>
      <c r="G48" s="59"/>
      <c r="H48" s="9"/>
      <c r="I48" s="30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23.25">
      <c r="A49" s="35"/>
      <c r="B49" s="42"/>
      <c r="C49" s="82"/>
      <c r="D49" s="15"/>
      <c r="E49" s="42"/>
      <c r="F49" s="36" t="s">
        <v>25</v>
      </c>
      <c r="G49" s="61"/>
      <c r="H49" s="9"/>
      <c r="I49" s="30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0">
      <c r="A50" s="83" t="s">
        <v>15</v>
      </c>
      <c r="B50" s="46">
        <v>0.5</v>
      </c>
      <c r="C50" s="47">
        <f>IF($C48&gt;$H$3,ROUNDUP($C48*$B50,-2),C48)</f>
        <v>500</v>
      </c>
      <c r="D50" s="48"/>
      <c r="E50" s="49"/>
      <c r="F50" s="47"/>
      <c r="G50" s="15"/>
      <c r="H50" s="9"/>
      <c r="I50" s="30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0">
      <c r="A51" s="84"/>
      <c r="B51" s="15"/>
      <c r="C51" s="50"/>
      <c r="D51" s="50"/>
      <c r="E51" s="50"/>
      <c r="F51" s="51"/>
      <c r="G51" s="15" t="s">
        <v>19</v>
      </c>
      <c r="H51" s="9"/>
      <c r="I51" s="30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0">
      <c r="A52" s="85" t="s">
        <v>16</v>
      </c>
      <c r="B52" s="46">
        <v>0.35</v>
      </c>
      <c r="C52" s="47">
        <f>IF($C48&gt;$H$3,ROUNDUP($C48*$B52,-2),C48)</f>
        <v>400</v>
      </c>
      <c r="D52" s="48"/>
      <c r="E52" s="53">
        <v>0.3</v>
      </c>
      <c r="F52" s="51">
        <f>IF($C48&gt;$H$3,ROUNDUP($C48*$E52,-2),"")</f>
        <v>300</v>
      </c>
      <c r="G52" s="15"/>
      <c r="H52" s="9"/>
      <c r="I52" s="30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0">
      <c r="A53" s="84"/>
      <c r="B53" s="15"/>
      <c r="C53" s="50"/>
      <c r="D53" s="50"/>
      <c r="E53" s="50"/>
      <c r="F53" s="51"/>
      <c r="G53" s="15"/>
      <c r="H53" s="9"/>
      <c r="I53" s="30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0">
      <c r="A54" s="86" t="s">
        <v>17</v>
      </c>
      <c r="B54" s="46">
        <v>0.2</v>
      </c>
      <c r="C54" s="47">
        <f>IF($C48&gt;$H$3,ROUNDUP($C48*$B54,-2),C48)</f>
        <v>200</v>
      </c>
      <c r="D54" s="48"/>
      <c r="E54" s="53">
        <v>0.15</v>
      </c>
      <c r="F54" s="51">
        <f>IF($C48&gt;$H$3,ROUNDUP($C48*$E54,-2),"")</f>
        <v>200</v>
      </c>
      <c r="G54" s="15"/>
      <c r="H54" s="9"/>
      <c r="I54" s="30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2.75">
      <c r="A55" s="15"/>
      <c r="B55" s="15"/>
      <c r="C55" s="15"/>
      <c r="D55" s="15"/>
      <c r="E55" s="15"/>
      <c r="F55" s="15"/>
      <c r="G55" s="15"/>
      <c r="H55" s="9"/>
      <c r="I55" s="30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.75">
      <c r="A56" s="56"/>
      <c r="B56" s="15"/>
      <c r="C56" s="15">
        <v>1000</v>
      </c>
      <c r="D56" s="15"/>
      <c r="E56" s="15"/>
      <c r="F56" s="15"/>
      <c r="G56" s="15"/>
      <c r="H56" s="9"/>
      <c r="I56" s="30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>
      <c r="A57" s="58" t="s">
        <v>27</v>
      </c>
      <c r="B57" s="15"/>
      <c r="C57" s="15"/>
      <c r="D57" s="15"/>
      <c r="E57" s="15"/>
      <c r="F57" s="15"/>
      <c r="G57" s="15"/>
      <c r="H57" s="9"/>
      <c r="I57" s="30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.75">
      <c r="A58" s="15"/>
      <c r="B58" s="15"/>
      <c r="C58" s="15"/>
      <c r="D58" s="15"/>
      <c r="E58" s="15"/>
      <c r="F58" s="15"/>
      <c r="G58" s="15"/>
      <c r="H58" s="9"/>
      <c r="I58" s="30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2.75">
      <c r="A59" s="15"/>
      <c r="B59" s="15"/>
      <c r="C59" s="15"/>
      <c r="D59" s="15"/>
      <c r="E59" s="15"/>
      <c r="F59" s="15"/>
      <c r="G59" s="15"/>
      <c r="H59" s="9"/>
      <c r="I59" s="30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.75">
      <c r="A60" s="9"/>
      <c r="B60" s="9"/>
      <c r="C60" s="9"/>
      <c r="D60" s="9"/>
      <c r="E60" s="9"/>
      <c r="F60" s="9"/>
      <c r="G60" s="9"/>
      <c r="H60" s="9"/>
      <c r="I60" s="30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.75">
      <c r="A61" s="9"/>
      <c r="B61" s="9"/>
      <c r="C61" s="9"/>
      <c r="D61" s="9"/>
      <c r="E61" s="9"/>
      <c r="F61" s="9"/>
      <c r="G61" s="9"/>
      <c r="H61" s="9"/>
      <c r="I61" s="30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>
      <c r="A62" s="31">
        <v>12198.97</v>
      </c>
      <c r="B62" s="15"/>
      <c r="C62" s="32">
        <v>8304.1200000000008</v>
      </c>
      <c r="D62" s="15"/>
      <c r="E62" s="15"/>
      <c r="F62" s="15"/>
      <c r="G62" s="15"/>
      <c r="H62" s="9"/>
      <c r="I62" s="30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29.25">
      <c r="A63" s="35" t="s">
        <v>24</v>
      </c>
      <c r="B63" s="36"/>
      <c r="C63" s="81">
        <v>1200</v>
      </c>
      <c r="D63" s="36"/>
      <c r="E63" s="36"/>
      <c r="F63" s="38"/>
      <c r="G63" s="59"/>
      <c r="H63" s="9"/>
      <c r="I63" s="30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23.25">
      <c r="A64" s="35"/>
      <c r="B64" s="42"/>
      <c r="C64" s="82"/>
      <c r="D64" s="15"/>
      <c r="E64" s="42"/>
      <c r="F64" s="36" t="s">
        <v>25</v>
      </c>
      <c r="G64" s="61"/>
      <c r="H64" s="9"/>
      <c r="I64" s="30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0">
      <c r="A65" s="83" t="s">
        <v>15</v>
      </c>
      <c r="B65" s="46">
        <v>0.5</v>
      </c>
      <c r="C65" s="47">
        <f>IF($C63&gt;$H$3,ROUNDUP($C63*$B65,-2),C63)</f>
        <v>600</v>
      </c>
      <c r="D65" s="48"/>
      <c r="E65" s="49"/>
      <c r="F65" s="47"/>
      <c r="G65" s="15"/>
      <c r="H65" s="9"/>
      <c r="I65" s="30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0">
      <c r="A66" s="84"/>
      <c r="B66" s="15"/>
      <c r="C66" s="50"/>
      <c r="D66" s="50"/>
      <c r="E66" s="50"/>
      <c r="F66" s="51"/>
      <c r="G66" s="15" t="s">
        <v>19</v>
      </c>
      <c r="H66" s="9"/>
      <c r="I66" s="30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0">
      <c r="A67" s="85" t="s">
        <v>16</v>
      </c>
      <c r="B67" s="46">
        <v>0.35</v>
      </c>
      <c r="C67" s="47">
        <f>IF($C63&gt;$H$3,ROUNDUP($C63*$B67,-2),C63)</f>
        <v>500</v>
      </c>
      <c r="D67" s="48"/>
      <c r="E67" s="53">
        <v>0.3</v>
      </c>
      <c r="F67" s="51">
        <f>IF($C63&gt;$H$3,ROUNDUP($C63*$E67,-2),"")</f>
        <v>400</v>
      </c>
      <c r="G67" s="15"/>
      <c r="H67" s="9"/>
      <c r="I67" s="30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0">
      <c r="A68" s="84"/>
      <c r="B68" s="15"/>
      <c r="C68" s="50"/>
      <c r="D68" s="50"/>
      <c r="E68" s="50"/>
      <c r="F68" s="51"/>
      <c r="G68" s="15"/>
      <c r="H68" s="9"/>
      <c r="I68" s="30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0">
      <c r="A69" s="86" t="s">
        <v>17</v>
      </c>
      <c r="B69" s="46">
        <v>0.2</v>
      </c>
      <c r="C69" s="47">
        <f>IF($C63&gt;$H$3,ROUNDUP($C63*$B69,-2),C63)</f>
        <v>300</v>
      </c>
      <c r="D69" s="48"/>
      <c r="E69" s="53">
        <v>0.15</v>
      </c>
      <c r="F69" s="51">
        <f>IF($C63&gt;$H$3,ROUNDUP($C63*$E69,-2),"")</f>
        <v>200</v>
      </c>
      <c r="G69" s="15"/>
      <c r="H69" s="9"/>
      <c r="I69" s="30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2.75">
      <c r="A70" s="15"/>
      <c r="B70" s="15"/>
      <c r="C70" s="15"/>
      <c r="D70" s="15"/>
      <c r="E70" s="15"/>
      <c r="F70" s="15"/>
      <c r="G70" s="15"/>
      <c r="H70" s="9"/>
      <c r="I70" s="30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2.75">
      <c r="A71" s="56"/>
      <c r="B71" s="15"/>
      <c r="C71" s="15">
        <v>1000</v>
      </c>
      <c r="D71" s="15"/>
      <c r="E71" s="15"/>
      <c r="F71" s="15"/>
      <c r="G71" s="15"/>
      <c r="H71" s="9"/>
      <c r="I71" s="30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>
      <c r="A72" s="58" t="s">
        <v>27</v>
      </c>
      <c r="B72" s="15"/>
      <c r="C72" s="15"/>
      <c r="D72" s="15"/>
      <c r="E72" s="15"/>
      <c r="F72" s="15"/>
      <c r="G72" s="15"/>
      <c r="H72" s="9"/>
      <c r="I72" s="3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.75">
      <c r="A73" s="15"/>
      <c r="B73" s="15"/>
      <c r="C73" s="15"/>
      <c r="D73" s="15"/>
      <c r="E73" s="15"/>
      <c r="F73" s="15"/>
      <c r="G73" s="15"/>
      <c r="H73" s="9"/>
      <c r="I73" s="30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.75">
      <c r="A74" s="15"/>
      <c r="B74" s="15"/>
      <c r="C74" s="15"/>
      <c r="D74" s="15"/>
      <c r="E74" s="15"/>
      <c r="F74" s="15"/>
      <c r="G74" s="15"/>
      <c r="H74" s="9"/>
      <c r="I74" s="30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2.75">
      <c r="A75" s="9"/>
      <c r="B75" s="9"/>
      <c r="C75" s="9"/>
      <c r="D75" s="9"/>
      <c r="E75" s="9"/>
      <c r="F75" s="9"/>
      <c r="G75" s="9"/>
      <c r="H75" s="9"/>
      <c r="I75" s="30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2.75">
      <c r="A76" s="9"/>
      <c r="B76" s="9"/>
      <c r="C76" s="9"/>
      <c r="D76" s="9"/>
      <c r="E76" s="9"/>
      <c r="F76" s="9"/>
      <c r="G76" s="9"/>
      <c r="H76" s="9"/>
      <c r="I76" s="30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2.75">
      <c r="A77" s="9"/>
      <c r="B77" s="9"/>
      <c r="C77" s="9"/>
      <c r="D77" s="9"/>
      <c r="E77" s="9"/>
      <c r="F77" s="9"/>
      <c r="G77" s="9"/>
      <c r="H77" s="9"/>
      <c r="I77" s="30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2.75">
      <c r="A78" s="9"/>
      <c r="B78" s="9"/>
      <c r="C78" s="9"/>
      <c r="D78" s="9"/>
      <c r="E78" s="9"/>
      <c r="F78" s="9"/>
      <c r="G78" s="9"/>
      <c r="H78" s="9"/>
      <c r="I78" s="30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2.75">
      <c r="A79" s="9"/>
      <c r="B79" s="9"/>
      <c r="C79" s="9"/>
      <c r="D79" s="9"/>
      <c r="E79" s="9"/>
      <c r="F79" s="9"/>
      <c r="G79" s="9"/>
      <c r="H79" s="9"/>
      <c r="I79" s="30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2.75">
      <c r="A80" s="9"/>
      <c r="B80" s="9"/>
      <c r="C80" s="9"/>
      <c r="D80" s="9"/>
      <c r="E80" s="9"/>
      <c r="F80" s="9"/>
      <c r="G80" s="9"/>
      <c r="H80" s="9"/>
      <c r="I80" s="3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.75">
      <c r="A81" s="9"/>
      <c r="B81" s="9"/>
      <c r="C81" s="9"/>
      <c r="D81" s="9"/>
      <c r="E81" s="9"/>
      <c r="F81" s="9"/>
      <c r="G81" s="9"/>
      <c r="H81" s="9"/>
      <c r="I81" s="30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.75">
      <c r="A82" s="9"/>
      <c r="B82" s="9"/>
      <c r="C82" s="9"/>
      <c r="D82" s="9"/>
      <c r="E82" s="9"/>
      <c r="F82" s="9"/>
      <c r="G82" s="9"/>
      <c r="H82" s="9"/>
      <c r="I82" s="30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.75">
      <c r="A83" s="9"/>
      <c r="B83" s="9"/>
      <c r="C83" s="9"/>
      <c r="D83" s="9"/>
      <c r="E83" s="9"/>
      <c r="F83" s="9"/>
      <c r="G83" s="9"/>
      <c r="H83" s="9"/>
      <c r="I83" s="30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2.75">
      <c r="A84" s="9"/>
      <c r="B84" s="9"/>
      <c r="C84" s="9"/>
      <c r="D84" s="9"/>
      <c r="E84" s="9"/>
      <c r="F84" s="9"/>
      <c r="G84" s="9"/>
      <c r="H84" s="9"/>
      <c r="I84" s="30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2.75">
      <c r="A85" s="9"/>
      <c r="B85" s="9"/>
      <c r="C85" s="9"/>
      <c r="D85" s="9"/>
      <c r="E85" s="9"/>
      <c r="F85" s="9"/>
      <c r="G85" s="9"/>
      <c r="H85" s="9"/>
      <c r="I85" s="30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2.75">
      <c r="A86" s="9"/>
      <c r="B86" s="9"/>
      <c r="C86" s="9"/>
      <c r="D86" s="9"/>
      <c r="E86" s="9"/>
      <c r="F86" s="9"/>
      <c r="G86" s="9"/>
      <c r="H86" s="9"/>
      <c r="I86" s="30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2.75">
      <c r="A87" s="9"/>
      <c r="B87" s="9"/>
      <c r="C87" s="9"/>
      <c r="D87" s="9"/>
      <c r="E87" s="9"/>
      <c r="F87" s="9"/>
      <c r="G87" s="9"/>
      <c r="H87" s="9"/>
      <c r="I87" s="30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.75">
      <c r="A88" s="9"/>
      <c r="B88" s="9"/>
      <c r="C88" s="9"/>
      <c r="D88" s="9"/>
      <c r="E88" s="9"/>
      <c r="F88" s="9"/>
      <c r="G88" s="9"/>
      <c r="H88" s="9"/>
      <c r="I88" s="30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.75">
      <c r="A89" s="9"/>
      <c r="B89" s="9"/>
      <c r="C89" s="9"/>
      <c r="D89" s="9"/>
      <c r="E89" s="9"/>
      <c r="F89" s="9"/>
      <c r="G89" s="9"/>
      <c r="H89" s="9"/>
      <c r="I89" s="30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.75">
      <c r="A90" s="9"/>
      <c r="B90" s="9"/>
      <c r="C90" s="9"/>
      <c r="D90" s="9"/>
      <c r="E90" s="9"/>
      <c r="F90" s="9"/>
      <c r="G90" s="9"/>
      <c r="H90" s="9"/>
      <c r="I90" s="30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.75">
      <c r="A91" s="9"/>
      <c r="B91" s="9"/>
      <c r="C91" s="9"/>
      <c r="D91" s="9"/>
      <c r="E91" s="9"/>
      <c r="F91" s="9"/>
      <c r="G91" s="9"/>
      <c r="H91" s="9"/>
      <c r="I91" s="30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.75">
      <c r="A92" s="9"/>
      <c r="B92" s="9"/>
      <c r="C92" s="9"/>
      <c r="D92" s="9"/>
      <c r="E92" s="9"/>
      <c r="F92" s="9"/>
      <c r="G92" s="9"/>
      <c r="H92" s="9"/>
      <c r="I92" s="30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2.75">
      <c r="A93" s="9"/>
      <c r="B93" s="9"/>
      <c r="C93" s="9"/>
      <c r="D93" s="9"/>
      <c r="E93" s="9"/>
      <c r="F93" s="9"/>
      <c r="G93" s="9"/>
      <c r="H93" s="9"/>
      <c r="I93" s="30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2.75">
      <c r="A94" s="9"/>
      <c r="B94" s="9"/>
      <c r="C94" s="9"/>
      <c r="D94" s="9"/>
      <c r="E94" s="9"/>
      <c r="F94" s="9"/>
      <c r="G94" s="9"/>
      <c r="H94" s="9"/>
      <c r="I94" s="30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.75">
      <c r="A95" s="9"/>
      <c r="B95" s="9"/>
      <c r="C95" s="9"/>
      <c r="D95" s="9"/>
      <c r="E95" s="9"/>
      <c r="F95" s="9"/>
      <c r="G95" s="9"/>
      <c r="H95" s="9"/>
      <c r="I95" s="30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.75">
      <c r="A96" s="9"/>
      <c r="B96" s="9"/>
      <c r="C96" s="9"/>
      <c r="D96" s="9"/>
      <c r="E96" s="9"/>
      <c r="F96" s="9"/>
      <c r="G96" s="9"/>
      <c r="H96" s="9"/>
      <c r="I96" s="30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2.75">
      <c r="A97" s="9"/>
      <c r="B97" s="9"/>
      <c r="C97" s="9"/>
      <c r="D97" s="9"/>
      <c r="E97" s="9"/>
      <c r="F97" s="9"/>
      <c r="G97" s="9"/>
      <c r="H97" s="9"/>
      <c r="I97" s="30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2.75">
      <c r="A98" s="9"/>
      <c r="B98" s="9"/>
      <c r="C98" s="9"/>
      <c r="D98" s="9"/>
      <c r="E98" s="9"/>
      <c r="F98" s="9"/>
      <c r="G98" s="9"/>
      <c r="H98" s="9"/>
      <c r="I98" s="30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2.75">
      <c r="A99" s="9"/>
      <c r="B99" s="9"/>
      <c r="C99" s="9"/>
      <c r="D99" s="9"/>
      <c r="E99" s="9"/>
      <c r="F99" s="9"/>
      <c r="G99" s="9"/>
      <c r="H99" s="9"/>
      <c r="I99" s="30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2.75">
      <c r="A100" s="9"/>
      <c r="B100" s="9"/>
      <c r="C100" s="9"/>
      <c r="D100" s="9"/>
      <c r="E100" s="9"/>
      <c r="F100" s="9"/>
      <c r="G100" s="9"/>
      <c r="H100" s="9"/>
      <c r="I100" s="30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.75">
      <c r="A101" s="9"/>
      <c r="B101" s="9"/>
      <c r="C101" s="9"/>
      <c r="D101" s="9"/>
      <c r="E101" s="9"/>
      <c r="F101" s="9"/>
      <c r="G101" s="9"/>
      <c r="H101" s="9"/>
      <c r="I101" s="30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.75">
      <c r="A102" s="9"/>
      <c r="B102" s="9"/>
      <c r="C102" s="9"/>
      <c r="D102" s="9"/>
      <c r="E102" s="9"/>
      <c r="F102" s="9"/>
      <c r="G102" s="9"/>
      <c r="H102" s="9"/>
      <c r="I102" s="30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.75">
      <c r="A103" s="9"/>
      <c r="B103" s="9"/>
      <c r="C103" s="9"/>
      <c r="D103" s="9"/>
      <c r="E103" s="9"/>
      <c r="F103" s="9"/>
      <c r="G103" s="9"/>
      <c r="H103" s="9"/>
      <c r="I103" s="30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2.75">
      <c r="A104" s="9"/>
      <c r="B104" s="9"/>
      <c r="C104" s="9"/>
      <c r="D104" s="9"/>
      <c r="E104" s="9"/>
      <c r="F104" s="9"/>
      <c r="G104" s="9"/>
      <c r="H104" s="9"/>
      <c r="I104" s="30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2.75">
      <c r="A105" s="9"/>
      <c r="B105" s="9"/>
      <c r="C105" s="9"/>
      <c r="D105" s="9"/>
      <c r="E105" s="9"/>
      <c r="F105" s="9"/>
      <c r="G105" s="9"/>
      <c r="H105" s="9"/>
      <c r="I105" s="30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.75">
      <c r="A106" s="9"/>
      <c r="B106" s="9"/>
      <c r="C106" s="9"/>
      <c r="D106" s="9"/>
      <c r="E106" s="9"/>
      <c r="F106" s="9"/>
      <c r="G106" s="9"/>
      <c r="H106" s="9"/>
      <c r="I106" s="30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.75">
      <c r="A107" s="9"/>
      <c r="B107" s="9"/>
      <c r="C107" s="9"/>
      <c r="D107" s="9"/>
      <c r="E107" s="9"/>
      <c r="F107" s="9"/>
      <c r="G107" s="9"/>
      <c r="H107" s="9"/>
      <c r="I107" s="30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.75">
      <c r="A108" s="9"/>
      <c r="B108" s="9"/>
      <c r="C108" s="9"/>
      <c r="D108" s="9"/>
      <c r="E108" s="9"/>
      <c r="F108" s="9"/>
      <c r="G108" s="9"/>
      <c r="H108" s="9"/>
      <c r="I108" s="30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2.75">
      <c r="A109" s="9"/>
      <c r="B109" s="9"/>
      <c r="C109" s="9"/>
      <c r="D109" s="9"/>
      <c r="E109" s="9"/>
      <c r="F109" s="9"/>
      <c r="G109" s="9"/>
      <c r="H109" s="9"/>
      <c r="I109" s="30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2.75">
      <c r="A110" s="9"/>
      <c r="B110" s="9"/>
      <c r="C110" s="9"/>
      <c r="D110" s="9"/>
      <c r="E110" s="9"/>
      <c r="F110" s="9"/>
      <c r="G110" s="9"/>
      <c r="H110" s="9"/>
      <c r="I110" s="30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.75">
      <c r="A111" s="9"/>
      <c r="B111" s="9"/>
      <c r="C111" s="9"/>
      <c r="D111" s="9"/>
      <c r="E111" s="9"/>
      <c r="F111" s="9"/>
      <c r="G111" s="9"/>
      <c r="H111" s="9"/>
      <c r="I111" s="30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2.75">
      <c r="A112" s="9"/>
      <c r="B112" s="9"/>
      <c r="C112" s="9"/>
      <c r="D112" s="9"/>
      <c r="E112" s="9"/>
      <c r="F112" s="9"/>
      <c r="G112" s="9"/>
      <c r="H112" s="9"/>
      <c r="I112" s="30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2.75">
      <c r="A113" s="9"/>
      <c r="B113" s="9"/>
      <c r="C113" s="9"/>
      <c r="D113" s="9"/>
      <c r="E113" s="9"/>
      <c r="F113" s="9"/>
      <c r="G113" s="9"/>
      <c r="H113" s="9"/>
      <c r="I113" s="30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.75">
      <c r="A114" s="9"/>
      <c r="B114" s="9"/>
      <c r="C114" s="9"/>
      <c r="D114" s="9"/>
      <c r="E114" s="9"/>
      <c r="F114" s="9"/>
      <c r="G114" s="9"/>
      <c r="H114" s="9"/>
      <c r="I114" s="30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.75">
      <c r="A115" s="9"/>
      <c r="B115" s="9"/>
      <c r="C115" s="9"/>
      <c r="D115" s="9"/>
      <c r="E115" s="9"/>
      <c r="F115" s="9"/>
      <c r="G115" s="9"/>
      <c r="H115" s="9"/>
      <c r="I115" s="30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2.75">
      <c r="A116" s="9"/>
      <c r="B116" s="9"/>
      <c r="C116" s="9"/>
      <c r="D116" s="9"/>
      <c r="E116" s="9"/>
      <c r="F116" s="9"/>
      <c r="G116" s="9"/>
      <c r="H116" s="9"/>
      <c r="I116" s="30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2.75">
      <c r="A117" s="9"/>
      <c r="B117" s="9"/>
      <c r="C117" s="9"/>
      <c r="D117" s="9"/>
      <c r="E117" s="9"/>
      <c r="F117" s="9"/>
      <c r="G117" s="9"/>
      <c r="H117" s="9"/>
      <c r="I117" s="30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.75">
      <c r="A118" s="9"/>
      <c r="B118" s="9"/>
      <c r="C118" s="9"/>
      <c r="D118" s="9"/>
      <c r="E118" s="9"/>
      <c r="F118" s="9"/>
      <c r="G118" s="9"/>
      <c r="H118" s="9"/>
      <c r="I118" s="30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.75">
      <c r="A119" s="9"/>
      <c r="B119" s="9"/>
      <c r="C119" s="9"/>
      <c r="D119" s="9"/>
      <c r="E119" s="9"/>
      <c r="F119" s="9"/>
      <c r="G119" s="9"/>
      <c r="H119" s="9"/>
      <c r="I119" s="30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.75">
      <c r="A120" s="9"/>
      <c r="B120" s="9"/>
      <c r="C120" s="9"/>
      <c r="D120" s="9"/>
      <c r="E120" s="9"/>
      <c r="F120" s="9"/>
      <c r="G120" s="9"/>
      <c r="H120" s="9"/>
      <c r="I120" s="30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2.75">
      <c r="A121" s="9"/>
      <c r="B121" s="9"/>
      <c r="C121" s="9"/>
      <c r="D121" s="9"/>
      <c r="E121" s="9"/>
      <c r="F121" s="9"/>
      <c r="G121" s="9"/>
      <c r="H121" s="9"/>
      <c r="I121" s="30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2.75">
      <c r="A122" s="9"/>
      <c r="B122" s="9"/>
      <c r="C122" s="9"/>
      <c r="D122" s="9"/>
      <c r="E122" s="9"/>
      <c r="F122" s="9"/>
      <c r="G122" s="9"/>
      <c r="H122" s="9"/>
      <c r="I122" s="30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.75">
      <c r="A123" s="9"/>
      <c r="B123" s="9"/>
      <c r="C123" s="9"/>
      <c r="D123" s="9"/>
      <c r="E123" s="9"/>
      <c r="F123" s="9"/>
      <c r="G123" s="9"/>
      <c r="H123" s="9"/>
      <c r="I123" s="30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.75">
      <c r="A124" s="9"/>
      <c r="B124" s="9"/>
      <c r="C124" s="9"/>
      <c r="D124" s="9"/>
      <c r="E124" s="9"/>
      <c r="F124" s="9"/>
      <c r="G124" s="9"/>
      <c r="H124" s="9"/>
      <c r="I124" s="30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.75">
      <c r="A125" s="9"/>
      <c r="B125" s="9"/>
      <c r="C125" s="9"/>
      <c r="D125" s="9"/>
      <c r="E125" s="9"/>
      <c r="F125" s="9"/>
      <c r="G125" s="9"/>
      <c r="H125" s="9"/>
      <c r="I125" s="30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2.75">
      <c r="A126" s="9"/>
      <c r="B126" s="9"/>
      <c r="C126" s="9"/>
      <c r="D126" s="9"/>
      <c r="E126" s="9"/>
      <c r="F126" s="9"/>
      <c r="G126" s="9"/>
      <c r="H126" s="9"/>
      <c r="I126" s="30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2.75">
      <c r="A127" s="9"/>
      <c r="B127" s="9"/>
      <c r="C127" s="9"/>
      <c r="D127" s="9"/>
      <c r="E127" s="9"/>
      <c r="F127" s="9"/>
      <c r="G127" s="9"/>
      <c r="H127" s="9"/>
      <c r="I127" s="30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.75">
      <c r="A128" s="9"/>
      <c r="B128" s="9"/>
      <c r="C128" s="9"/>
      <c r="D128" s="9"/>
      <c r="E128" s="9"/>
      <c r="F128" s="9"/>
      <c r="G128" s="9"/>
      <c r="H128" s="9"/>
      <c r="I128" s="30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.75">
      <c r="A129" s="9"/>
      <c r="B129" s="9"/>
      <c r="C129" s="9"/>
      <c r="D129" s="9"/>
      <c r="E129" s="9"/>
      <c r="F129" s="9"/>
      <c r="G129" s="9"/>
      <c r="H129" s="9"/>
      <c r="I129" s="30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2.75">
      <c r="A130" s="9"/>
      <c r="B130" s="9"/>
      <c r="C130" s="9"/>
      <c r="D130" s="9"/>
      <c r="E130" s="9"/>
      <c r="F130" s="9"/>
      <c r="G130" s="9"/>
      <c r="H130" s="9"/>
      <c r="I130" s="30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2.75">
      <c r="A131" s="9"/>
      <c r="B131" s="9"/>
      <c r="C131" s="9"/>
      <c r="D131" s="9"/>
      <c r="E131" s="9"/>
      <c r="F131" s="9"/>
      <c r="G131" s="9"/>
      <c r="H131" s="9"/>
      <c r="I131" s="30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.75">
      <c r="A132" s="9"/>
      <c r="B132" s="9"/>
      <c r="C132" s="9"/>
      <c r="D132" s="9"/>
      <c r="E132" s="9"/>
      <c r="F132" s="9"/>
      <c r="G132" s="9"/>
      <c r="H132" s="9"/>
      <c r="I132" s="30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.75">
      <c r="A133" s="9"/>
      <c r="B133" s="9"/>
      <c r="C133" s="9"/>
      <c r="D133" s="9"/>
      <c r="E133" s="9"/>
      <c r="F133" s="9"/>
      <c r="G133" s="9"/>
      <c r="H133" s="9"/>
      <c r="I133" s="30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2.75">
      <c r="A134" s="9"/>
      <c r="B134" s="9"/>
      <c r="C134" s="9"/>
      <c r="D134" s="9"/>
      <c r="E134" s="9"/>
      <c r="F134" s="9"/>
      <c r="G134" s="9"/>
      <c r="H134" s="9"/>
      <c r="I134" s="30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2.75">
      <c r="A135" s="9"/>
      <c r="B135" s="9"/>
      <c r="C135" s="9"/>
      <c r="D135" s="9"/>
      <c r="E135" s="9"/>
      <c r="F135" s="9"/>
      <c r="G135" s="9"/>
      <c r="H135" s="9"/>
      <c r="I135" s="30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.75">
      <c r="A136" s="9"/>
      <c r="B136" s="9"/>
      <c r="C136" s="9"/>
      <c r="D136" s="9"/>
      <c r="E136" s="9"/>
      <c r="F136" s="9"/>
      <c r="G136" s="9"/>
      <c r="H136" s="9"/>
      <c r="I136" s="30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.75">
      <c r="A137" s="9"/>
      <c r="B137" s="9"/>
      <c r="C137" s="9"/>
      <c r="D137" s="9"/>
      <c r="E137" s="9"/>
      <c r="F137" s="9"/>
      <c r="G137" s="9"/>
      <c r="H137" s="9"/>
      <c r="I137" s="30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2.75">
      <c r="A138" s="9"/>
      <c r="B138" s="9"/>
      <c r="C138" s="9"/>
      <c r="D138" s="9"/>
      <c r="E138" s="9"/>
      <c r="F138" s="9"/>
      <c r="G138" s="9"/>
      <c r="H138" s="9"/>
      <c r="I138" s="30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2.75">
      <c r="A139" s="9"/>
      <c r="B139" s="9"/>
      <c r="C139" s="9"/>
      <c r="D139" s="9"/>
      <c r="E139" s="9"/>
      <c r="F139" s="9"/>
      <c r="G139" s="9"/>
      <c r="H139" s="9"/>
      <c r="I139" s="30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.75">
      <c r="A140" s="9"/>
      <c r="B140" s="9"/>
      <c r="C140" s="9"/>
      <c r="D140" s="9"/>
      <c r="E140" s="9"/>
      <c r="F140" s="9"/>
      <c r="G140" s="9"/>
      <c r="H140" s="9"/>
      <c r="I140" s="30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2.75">
      <c r="A141" s="9"/>
      <c r="B141" s="9"/>
      <c r="C141" s="9"/>
      <c r="D141" s="9"/>
      <c r="E141" s="9"/>
      <c r="F141" s="9"/>
      <c r="G141" s="9"/>
      <c r="H141" s="9"/>
      <c r="I141" s="30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2.75">
      <c r="A142" s="9"/>
      <c r="B142" s="9"/>
      <c r="C142" s="9"/>
      <c r="D142" s="9"/>
      <c r="E142" s="9"/>
      <c r="F142" s="9"/>
      <c r="G142" s="9"/>
      <c r="H142" s="9"/>
      <c r="I142" s="30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.75">
      <c r="A143" s="9"/>
      <c r="B143" s="9"/>
      <c r="C143" s="9"/>
      <c r="D143" s="9"/>
      <c r="E143" s="9"/>
      <c r="F143" s="9"/>
      <c r="G143" s="9"/>
      <c r="H143" s="9"/>
      <c r="I143" s="30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.75">
      <c r="A144" s="9"/>
      <c r="B144" s="9"/>
      <c r="C144" s="9"/>
      <c r="D144" s="9"/>
      <c r="E144" s="9"/>
      <c r="F144" s="9"/>
      <c r="G144" s="9"/>
      <c r="H144" s="9"/>
      <c r="I144" s="30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.75">
      <c r="A145" s="9"/>
      <c r="B145" s="9"/>
      <c r="C145" s="9"/>
      <c r="D145" s="9"/>
      <c r="E145" s="9"/>
      <c r="F145" s="9"/>
      <c r="G145" s="9"/>
      <c r="H145" s="9"/>
      <c r="I145" s="30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2.75">
      <c r="A146" s="9"/>
      <c r="B146" s="9"/>
      <c r="C146" s="9"/>
      <c r="D146" s="9"/>
      <c r="E146" s="9"/>
      <c r="F146" s="9"/>
      <c r="G146" s="9"/>
      <c r="H146" s="9"/>
      <c r="I146" s="30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2.75">
      <c r="A147" s="9"/>
      <c r="B147" s="9"/>
      <c r="C147" s="9"/>
      <c r="D147" s="9"/>
      <c r="E147" s="9"/>
      <c r="F147" s="9"/>
      <c r="G147" s="9"/>
      <c r="H147" s="9"/>
      <c r="I147" s="30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.75">
      <c r="A148" s="9"/>
      <c r="B148" s="9"/>
      <c r="C148" s="9"/>
      <c r="D148" s="9"/>
      <c r="E148" s="9"/>
      <c r="F148" s="9"/>
      <c r="G148" s="9"/>
      <c r="H148" s="9"/>
      <c r="I148" s="30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.75">
      <c r="A149" s="9"/>
      <c r="B149" s="9"/>
      <c r="C149" s="9"/>
      <c r="D149" s="9"/>
      <c r="E149" s="9"/>
      <c r="F149" s="9"/>
      <c r="G149" s="9"/>
      <c r="H149" s="9"/>
      <c r="I149" s="30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.75">
      <c r="A150" s="9"/>
      <c r="B150" s="9"/>
      <c r="C150" s="9"/>
      <c r="D150" s="9"/>
      <c r="E150" s="9"/>
      <c r="F150" s="9"/>
      <c r="G150" s="9"/>
      <c r="H150" s="9"/>
      <c r="I150" s="30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.75">
      <c r="A151" s="9"/>
      <c r="B151" s="9"/>
      <c r="C151" s="9"/>
      <c r="D151" s="9"/>
      <c r="E151" s="9"/>
      <c r="F151" s="9"/>
      <c r="G151" s="9"/>
      <c r="H151" s="9"/>
      <c r="I151" s="30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.75">
      <c r="A152" s="9"/>
      <c r="B152" s="9"/>
      <c r="C152" s="9"/>
      <c r="D152" s="9"/>
      <c r="E152" s="9"/>
      <c r="F152" s="9"/>
      <c r="G152" s="9"/>
      <c r="H152" s="9"/>
      <c r="I152" s="30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.75">
      <c r="A153" s="9"/>
      <c r="B153" s="9"/>
      <c r="C153" s="9"/>
      <c r="D153" s="9"/>
      <c r="E153" s="9"/>
      <c r="F153" s="9"/>
      <c r="G153" s="9"/>
      <c r="H153" s="9"/>
      <c r="I153" s="30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.75">
      <c r="A154" s="9"/>
      <c r="B154" s="9"/>
      <c r="C154" s="9"/>
      <c r="D154" s="9"/>
      <c r="E154" s="9"/>
      <c r="F154" s="9"/>
      <c r="G154" s="9"/>
      <c r="H154" s="9"/>
      <c r="I154" s="30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.75">
      <c r="A155" s="9"/>
      <c r="B155" s="9"/>
      <c r="C155" s="9"/>
      <c r="D155" s="9"/>
      <c r="E155" s="9"/>
      <c r="F155" s="9"/>
      <c r="G155" s="9"/>
      <c r="H155" s="9"/>
      <c r="I155" s="30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.75">
      <c r="A156" s="9"/>
      <c r="B156" s="9"/>
      <c r="C156" s="9"/>
      <c r="D156" s="9"/>
      <c r="E156" s="9"/>
      <c r="F156" s="9"/>
      <c r="G156" s="9"/>
      <c r="H156" s="9"/>
      <c r="I156" s="30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.75">
      <c r="A157" s="9"/>
      <c r="B157" s="9"/>
      <c r="C157" s="9"/>
      <c r="D157" s="9"/>
      <c r="E157" s="9"/>
      <c r="F157" s="9"/>
      <c r="G157" s="9"/>
      <c r="H157" s="9"/>
      <c r="I157" s="30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.75">
      <c r="A158" s="9"/>
      <c r="B158" s="9"/>
      <c r="C158" s="9"/>
      <c r="D158" s="9"/>
      <c r="E158" s="9"/>
      <c r="F158" s="9"/>
      <c r="G158" s="9"/>
      <c r="H158" s="9"/>
      <c r="I158" s="30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.75">
      <c r="A159" s="9"/>
      <c r="B159" s="9"/>
      <c r="C159" s="9"/>
      <c r="D159" s="9"/>
      <c r="E159" s="9"/>
      <c r="F159" s="9"/>
      <c r="G159" s="9"/>
      <c r="H159" s="9"/>
      <c r="I159" s="30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.75">
      <c r="A160" s="9"/>
      <c r="B160" s="9"/>
      <c r="C160" s="9"/>
      <c r="D160" s="9"/>
      <c r="E160" s="9"/>
      <c r="F160" s="9"/>
      <c r="G160" s="9"/>
      <c r="H160" s="9"/>
      <c r="I160" s="30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.75">
      <c r="A161" s="9"/>
      <c r="B161" s="9"/>
      <c r="C161" s="9"/>
      <c r="D161" s="9"/>
      <c r="E161" s="9"/>
      <c r="F161" s="9"/>
      <c r="G161" s="9"/>
      <c r="H161" s="9"/>
      <c r="I161" s="30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.75">
      <c r="A162" s="9"/>
      <c r="B162" s="9"/>
      <c r="C162" s="9"/>
      <c r="D162" s="9"/>
      <c r="E162" s="9"/>
      <c r="F162" s="9"/>
      <c r="G162" s="9"/>
      <c r="H162" s="9"/>
      <c r="I162" s="30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.75">
      <c r="A163" s="9"/>
      <c r="B163" s="9"/>
      <c r="C163" s="9"/>
      <c r="D163" s="9"/>
      <c r="E163" s="9"/>
      <c r="F163" s="9"/>
      <c r="G163" s="9"/>
      <c r="H163" s="9"/>
      <c r="I163" s="30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.75">
      <c r="A164" s="9"/>
      <c r="B164" s="9"/>
      <c r="C164" s="9"/>
      <c r="D164" s="9"/>
      <c r="E164" s="9"/>
      <c r="F164" s="9"/>
      <c r="G164" s="9"/>
      <c r="H164" s="9"/>
      <c r="I164" s="30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.75">
      <c r="A165" s="9"/>
      <c r="B165" s="9"/>
      <c r="C165" s="9"/>
      <c r="D165" s="9"/>
      <c r="E165" s="9"/>
      <c r="F165" s="9"/>
      <c r="G165" s="9"/>
      <c r="H165" s="9"/>
      <c r="I165" s="30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.75">
      <c r="A166" s="9"/>
      <c r="B166" s="9"/>
      <c r="C166" s="9"/>
      <c r="D166" s="9"/>
      <c r="E166" s="9"/>
      <c r="F166" s="9"/>
      <c r="G166" s="9"/>
      <c r="H166" s="9"/>
      <c r="I166" s="30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.75">
      <c r="A167" s="9"/>
      <c r="B167" s="9"/>
      <c r="C167" s="9"/>
      <c r="D167" s="9"/>
      <c r="E167" s="9"/>
      <c r="F167" s="9"/>
      <c r="G167" s="9"/>
      <c r="H167" s="9"/>
      <c r="I167" s="30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.75">
      <c r="A168" s="9"/>
      <c r="B168" s="9"/>
      <c r="C168" s="9"/>
      <c r="D168" s="9"/>
      <c r="E168" s="9"/>
      <c r="F168" s="9"/>
      <c r="G168" s="9"/>
      <c r="H168" s="9"/>
      <c r="I168" s="30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.75">
      <c r="A169" s="9"/>
      <c r="B169" s="9"/>
      <c r="C169" s="9"/>
      <c r="D169" s="9"/>
      <c r="E169" s="9"/>
      <c r="F169" s="9"/>
      <c r="G169" s="9"/>
      <c r="H169" s="9"/>
      <c r="I169" s="30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.75">
      <c r="A170" s="9"/>
      <c r="B170" s="9"/>
      <c r="C170" s="9"/>
      <c r="D170" s="9"/>
      <c r="E170" s="9"/>
      <c r="F170" s="9"/>
      <c r="G170" s="9"/>
      <c r="H170" s="9"/>
      <c r="I170" s="30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.75">
      <c r="A171" s="9"/>
      <c r="B171" s="9"/>
      <c r="C171" s="9"/>
      <c r="D171" s="9"/>
      <c r="E171" s="9"/>
      <c r="F171" s="9"/>
      <c r="G171" s="9"/>
      <c r="H171" s="9"/>
      <c r="I171" s="30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.75">
      <c r="A172" s="9"/>
      <c r="B172" s="9"/>
      <c r="C172" s="9"/>
      <c r="D172" s="9"/>
      <c r="E172" s="9"/>
      <c r="F172" s="9"/>
      <c r="G172" s="9"/>
      <c r="H172" s="9"/>
      <c r="I172" s="30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.75">
      <c r="A173" s="9"/>
      <c r="B173" s="9"/>
      <c r="C173" s="9"/>
      <c r="D173" s="9"/>
      <c r="E173" s="9"/>
      <c r="F173" s="9"/>
      <c r="G173" s="9"/>
      <c r="H173" s="9"/>
      <c r="I173" s="30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.75">
      <c r="A174" s="9"/>
      <c r="B174" s="9"/>
      <c r="C174" s="9"/>
      <c r="D174" s="9"/>
      <c r="E174" s="9"/>
      <c r="F174" s="9"/>
      <c r="G174" s="9"/>
      <c r="H174" s="9"/>
      <c r="I174" s="30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.75">
      <c r="A175" s="9"/>
      <c r="B175" s="9"/>
      <c r="C175" s="9"/>
      <c r="D175" s="9"/>
      <c r="E175" s="9"/>
      <c r="F175" s="9"/>
      <c r="G175" s="9"/>
      <c r="H175" s="9"/>
      <c r="I175" s="30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.75">
      <c r="A176" s="9"/>
      <c r="B176" s="9"/>
      <c r="C176" s="9"/>
      <c r="D176" s="9"/>
      <c r="E176" s="9"/>
      <c r="F176" s="9"/>
      <c r="G176" s="9"/>
      <c r="H176" s="9"/>
      <c r="I176" s="30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.75">
      <c r="A177" s="9"/>
      <c r="B177" s="9"/>
      <c r="C177" s="9"/>
      <c r="D177" s="9"/>
      <c r="E177" s="9"/>
      <c r="F177" s="9"/>
      <c r="G177" s="9"/>
      <c r="H177" s="9"/>
      <c r="I177" s="30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.75">
      <c r="A178" s="9"/>
      <c r="B178" s="9"/>
      <c r="C178" s="9"/>
      <c r="D178" s="9"/>
      <c r="E178" s="9"/>
      <c r="F178" s="9"/>
      <c r="G178" s="9"/>
      <c r="H178" s="9"/>
      <c r="I178" s="30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.75">
      <c r="A179" s="9"/>
      <c r="B179" s="9"/>
      <c r="C179" s="9"/>
      <c r="D179" s="9"/>
      <c r="E179" s="9"/>
      <c r="F179" s="9"/>
      <c r="G179" s="9"/>
      <c r="H179" s="9"/>
      <c r="I179" s="30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.75">
      <c r="A180" s="9"/>
      <c r="B180" s="9"/>
      <c r="C180" s="9"/>
      <c r="D180" s="9"/>
      <c r="E180" s="9"/>
      <c r="F180" s="9"/>
      <c r="G180" s="9"/>
      <c r="H180" s="9"/>
      <c r="I180" s="30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.75">
      <c r="A181" s="9"/>
      <c r="B181" s="9"/>
      <c r="C181" s="9"/>
      <c r="D181" s="9"/>
      <c r="E181" s="9"/>
      <c r="F181" s="9"/>
      <c r="G181" s="9"/>
      <c r="H181" s="9"/>
      <c r="I181" s="30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.75">
      <c r="A182" s="9"/>
      <c r="B182" s="9"/>
      <c r="C182" s="9"/>
      <c r="D182" s="9"/>
      <c r="E182" s="9"/>
      <c r="F182" s="9"/>
      <c r="G182" s="9"/>
      <c r="H182" s="9"/>
      <c r="I182" s="30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.75">
      <c r="A183" s="9"/>
      <c r="B183" s="9"/>
      <c r="C183" s="9"/>
      <c r="D183" s="9"/>
      <c r="E183" s="9"/>
      <c r="F183" s="9"/>
      <c r="G183" s="9"/>
      <c r="H183" s="9"/>
      <c r="I183" s="30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.75">
      <c r="A184" s="9"/>
      <c r="B184" s="9"/>
      <c r="C184" s="9"/>
      <c r="D184" s="9"/>
      <c r="E184" s="9"/>
      <c r="F184" s="9"/>
      <c r="G184" s="9"/>
      <c r="H184" s="9"/>
      <c r="I184" s="30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.75">
      <c r="A185" s="9"/>
      <c r="B185" s="9"/>
      <c r="C185" s="9"/>
      <c r="D185" s="9"/>
      <c r="E185" s="9"/>
      <c r="F185" s="9"/>
      <c r="G185" s="9"/>
      <c r="H185" s="9"/>
      <c r="I185" s="30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.75">
      <c r="A186" s="9"/>
      <c r="B186" s="9"/>
      <c r="C186" s="9"/>
      <c r="D186" s="9"/>
      <c r="E186" s="9"/>
      <c r="F186" s="9"/>
      <c r="G186" s="9"/>
      <c r="H186" s="9"/>
      <c r="I186" s="30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.75">
      <c r="A187" s="9"/>
      <c r="B187" s="9"/>
      <c r="C187" s="9"/>
      <c r="D187" s="9"/>
      <c r="E187" s="9"/>
      <c r="F187" s="9"/>
      <c r="G187" s="9"/>
      <c r="H187" s="9"/>
      <c r="I187" s="30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.75">
      <c r="A188" s="9"/>
      <c r="B188" s="9"/>
      <c r="C188" s="9"/>
      <c r="D188" s="9"/>
      <c r="E188" s="9"/>
      <c r="F188" s="9"/>
      <c r="G188" s="9"/>
      <c r="H188" s="9"/>
      <c r="I188" s="30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.75">
      <c r="A189" s="9"/>
      <c r="B189" s="9"/>
      <c r="C189" s="9"/>
      <c r="D189" s="9"/>
      <c r="E189" s="9"/>
      <c r="F189" s="9"/>
      <c r="G189" s="9"/>
      <c r="H189" s="9"/>
      <c r="I189" s="30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.75">
      <c r="A190" s="9"/>
      <c r="B190" s="9"/>
      <c r="C190" s="9"/>
      <c r="D190" s="9"/>
      <c r="E190" s="9"/>
      <c r="F190" s="9"/>
      <c r="G190" s="9"/>
      <c r="H190" s="9"/>
      <c r="I190" s="30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.75">
      <c r="A191" s="9"/>
      <c r="B191" s="9"/>
      <c r="C191" s="9"/>
      <c r="D191" s="9"/>
      <c r="E191" s="9"/>
      <c r="F191" s="9"/>
      <c r="G191" s="9"/>
      <c r="H191" s="9"/>
      <c r="I191" s="30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.75">
      <c r="A192" s="9"/>
      <c r="B192" s="9"/>
      <c r="C192" s="9"/>
      <c r="D192" s="9"/>
      <c r="E192" s="9"/>
      <c r="F192" s="9"/>
      <c r="G192" s="9"/>
      <c r="H192" s="9"/>
      <c r="I192" s="30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.75">
      <c r="A193" s="9"/>
      <c r="B193" s="9"/>
      <c r="C193" s="9"/>
      <c r="D193" s="9"/>
      <c r="E193" s="9"/>
      <c r="F193" s="9"/>
      <c r="G193" s="9"/>
      <c r="H193" s="9"/>
      <c r="I193" s="30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.75">
      <c r="A194" s="9"/>
      <c r="B194" s="9"/>
      <c r="C194" s="9"/>
      <c r="D194" s="9"/>
      <c r="E194" s="9"/>
      <c r="F194" s="9"/>
      <c r="G194" s="9"/>
      <c r="H194" s="9"/>
      <c r="I194" s="30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.75">
      <c r="A195" s="9"/>
      <c r="B195" s="9"/>
      <c r="C195" s="9"/>
      <c r="D195" s="9"/>
      <c r="E195" s="9"/>
      <c r="F195" s="9"/>
      <c r="G195" s="9"/>
      <c r="H195" s="9"/>
      <c r="I195" s="30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.7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.7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.7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.7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.7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.7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.7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.7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2.7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2.7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2.7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2.7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2.7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2.7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2.7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.7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.7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.7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.7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.7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.7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.7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.7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.7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.7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2.7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2.7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2.7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2.7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2.7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2.7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2.7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2.7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2.7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2.7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2.7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2.7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2.7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2.7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2.7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2.7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2.7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2.7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2.7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2.7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2.7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2.7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2.7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2.7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2.7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2.7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2.7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2.7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2.7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2.7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2.7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2.7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2.7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2.7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2.7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2.7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2.7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2.7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2.7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2.7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2.7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2.7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2.7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2.7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2.7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2.7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2.7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2.7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2.7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2.7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2.7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2.7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2.7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2.7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2.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2.7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2.7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2.7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2.7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2.7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2.7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2.7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2.7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2.7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2.7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2.7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2.7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2.7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2.7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2.7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2.7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2.7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2.7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2.7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2.7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2.7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2.7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2.7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2.7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2.7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2.7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2.7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2.7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2.7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2.7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2.7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2.7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2.7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2.7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2.7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2.7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2.7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2.7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2.7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2.7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2.7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2.7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2.7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2.7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2.7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2.7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2.7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2.7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2.7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2.7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2.7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2.7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2.7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2.7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2.7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2.7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2.7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2.7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2.7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2.7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2.7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2.7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2.7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2.7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2.7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2.7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2.7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2.7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2.7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2.7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2.7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2.7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2.7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2.7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2.7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2.7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2.7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2.7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2.7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2.7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2.7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2.7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2.7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2.7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2.7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2.7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2.7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2.7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2.7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2.7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2.7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2.7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2.7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2.7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2.7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2.7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2.7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2.7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2.7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2.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2.7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2.7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2.7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2.7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2.7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2.7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2.7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2.7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2.7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2.7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2.7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2.7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2.7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2.7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2.7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2.7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2.7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2.7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2.7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2.7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2.7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2.7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2.7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2.7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2.7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2.7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2.7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2.7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2.7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2.7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2.7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2.7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2.7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2.7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2.7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2.7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2.7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2.7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2.7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2.7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2.7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2.7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2.7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2.7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2.7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2.7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2.7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2.7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2.7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2.7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2.7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2.7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2.7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2.7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2.7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2.7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2.7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2.7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2.7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2.7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2.7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2.7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2.7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2.7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2.7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2.7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2.7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2.7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2.7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2.7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2.7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2.7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2.7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2.7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2.7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2.7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2.7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2.7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2.7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2.7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2.7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2.7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2.7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2.7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2.7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2.7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2.7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2.7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2.7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2.7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2.7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2.7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2.7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2.7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2.7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2.7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2.7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2.7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2.7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2.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2.7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2.7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2.7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2.7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2.7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2.7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2.7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2.7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2.7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2.7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2.7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2.7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2.7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2.7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2.7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2.7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2.7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2.7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2.7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2.7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2.7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2.7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2.7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2.7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2.7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2.7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2.7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2.7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2.7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2.7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2.7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2.7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2.7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2.7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2.7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2.7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2.7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2.7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2.7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2.7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2.7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2.7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2.7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2.7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2.7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2.7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2.7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2.7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2.7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2.7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2.7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2.7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2.7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2.7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2.7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2.7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2.7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2.7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2.7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2.7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2.7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2.7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2.7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2.7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2.7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2.7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2.7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2.7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2.7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2.7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2.7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2.7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2.7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2.7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2.7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2.7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2.7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2.7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2.7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2.7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2.7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2.7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2.7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2.7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2.7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2.7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2.7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2.7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2.7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2.7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2.7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2.7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2.7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2.7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2.7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2.7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2.7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2.7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2.7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2.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2.7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2.7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2.7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2.7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2.7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2.7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2.7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2.7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2.7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2.7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2.7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2.7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2.7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2.7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2.7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2.7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2.7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2.7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2.7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2.7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2.7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2.7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2.7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2.7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2.7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2.7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2.7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2.7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2.7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2.7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2.7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2.7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2.7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2.7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2.7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2.7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2.7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2.7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2.7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2.7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2.7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2.7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2.7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2.7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2.7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2.7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2.7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2.7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2.7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2.7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2.7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2.7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2.7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2.7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2.7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2.7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2.7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2.7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2.7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2.7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2.7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2.7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2.7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2.7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2.7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2.7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2.7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2.7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2.7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2.7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2.7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2.7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2.7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2.7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2.7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2.7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2.7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2.7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2.7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2.7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2.7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2.7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2.7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2.7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2.7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2.7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2.7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2.7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2.7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2.7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2.7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2.7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2.7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2.7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2.7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2.7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2.7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2.7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2.7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2.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2.7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2.7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2.7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2.7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2.7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2.7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2.7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2.7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2.7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2.7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2.7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2.7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2.7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2.7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2.7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2.7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2.7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2.7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2.7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2.7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2.7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2.7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2.7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2.7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2.7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2.7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2.7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2.7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2.7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2.7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2.7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2.7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2.7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2.7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2.7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2.7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2.7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2.7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2.7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2.7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2.7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2.7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2.7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2.7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2.7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2.7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2.7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2.7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2.7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2.7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2.7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2.7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2.7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2.7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2.7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2.7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2.7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2.7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2.7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2.7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2.7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2.7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2.7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2.7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2.7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2.7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2.7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2.7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2.7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2.7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2.7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2.7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2.7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2.7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2.7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2.7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2.7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2.7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2.7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2.7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2.7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2.7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2.7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2.7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2.7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2.7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2.7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2.7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2.7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2.7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2.7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2.7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2.7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2.7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2.7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2.7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2.7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2.7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2.7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2.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2.7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2.7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2.7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2.7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2.7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2.7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2.7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2.7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2.7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2.7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2.7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2.7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2.7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2.7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2.7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2.7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2.7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2.7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2.7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2.7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2.7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2.7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2.7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2.7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2.7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2.7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2.7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2.7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2.7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2.7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2.7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2.7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2.7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2.7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2.7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2.7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2.7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2.7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2.7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2.7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2.7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2.7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2.7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2.7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2.7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2.7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2.7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2.7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2.7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2.7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2.7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2.7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2.7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2.7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2.7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2.7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2.7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2.7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2.7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2.7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2.7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2.7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2.7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2.7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2.7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2.7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2.7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2.7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2.7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2.7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2.7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2.7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2.7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2.7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2.7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2.7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2.7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2.7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2.7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2.7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2.7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2.7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2.7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2.7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2.7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2.7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2.7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2.7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2.7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2.7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2.7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2.7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2.7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2.7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2.7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2.7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2.7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2.7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2.7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2.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2.7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2.7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2.7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2.7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2.7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2.7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2.7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2.7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2.7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2.7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2.7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2.7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2.7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2.7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2.7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2.7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2.7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2.7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2.7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2.7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2.7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2.7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2.7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2.7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2.7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2.7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2.7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2.7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2.7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2.7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2.7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2.7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2.7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2.7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2.7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2.7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2.7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2.7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2.7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2.7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2.7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2.7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2.7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2.7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2.7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2.7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2.7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2.7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2.7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2.7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2.7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2.7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2.7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2.7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2.7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2.7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2.7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2.7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2.7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2.7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2.7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2.7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2.7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2.7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2.7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2.7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2.7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2.7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2.7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2.7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2.7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2.7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2.7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2.7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2.7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2.7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2.7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2.7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2.7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2.7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2.7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2.7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2.7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2.7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2.7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2.7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2.7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2.7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00"/>
  <sheetViews>
    <sheetView workbookViewId="0"/>
  </sheetViews>
  <sheetFormatPr defaultColWidth="12.5703125" defaultRowHeight="15" customHeight="1"/>
  <cols>
    <col min="1" max="1" width="19" customWidth="1"/>
    <col min="2" max="2" width="20.42578125" customWidth="1"/>
    <col min="3" max="3" width="17.28515625" customWidth="1"/>
  </cols>
  <sheetData>
    <row r="1" spans="1:3" ht="18.75" customHeight="1">
      <c r="A1" s="87" t="s">
        <v>1</v>
      </c>
      <c r="B1" s="88" t="s">
        <v>2</v>
      </c>
    </row>
    <row r="2" spans="1:3" ht="23.25" customHeight="1">
      <c r="A2" s="99" t="s">
        <v>34</v>
      </c>
      <c r="B2" s="100" t="s">
        <v>4</v>
      </c>
      <c r="C2" s="100" t="s">
        <v>5</v>
      </c>
    </row>
    <row r="3" spans="1:3" ht="23.25" customHeight="1">
      <c r="A3" s="98"/>
      <c r="B3" s="98"/>
      <c r="C3" s="98"/>
    </row>
    <row r="4" spans="1:3" ht="32.25" customHeight="1">
      <c r="A4" s="89">
        <v>3000</v>
      </c>
      <c r="B4" s="90">
        <f>(A4*C4)/365</f>
        <v>2.0547945205479454</v>
      </c>
      <c r="C4" s="91">
        <v>0.25</v>
      </c>
    </row>
    <row r="5" spans="1:3" ht="19.5" customHeight="1"/>
    <row r="6" spans="1:3" ht="15.75" customHeight="1">
      <c r="A6" s="99" t="s">
        <v>35</v>
      </c>
      <c r="B6" s="97" t="s">
        <v>6</v>
      </c>
    </row>
    <row r="7" spans="1:3" ht="15.75" customHeight="1">
      <c r="A7" s="98"/>
      <c r="B7" s="98"/>
    </row>
    <row r="8" spans="1:3" ht="35.25" customHeight="1">
      <c r="A8" s="89">
        <v>10</v>
      </c>
      <c r="B8" s="90">
        <f>A8*B4</f>
        <v>20.547945205479454</v>
      </c>
    </row>
    <row r="9" spans="1:3" ht="15.75" customHeight="1"/>
    <row r="10" spans="1:3" ht="15.75" customHeight="1"/>
    <row r="11" spans="1:3" ht="15.75" customHeight="1">
      <c r="A11" s="15"/>
      <c r="B11" s="15"/>
      <c r="C11" s="15"/>
    </row>
    <row r="12" spans="1:3" ht="15.75" customHeight="1"/>
    <row r="13" spans="1:3" ht="15.75" customHeight="1">
      <c r="A13" s="92" t="s">
        <v>9</v>
      </c>
      <c r="B13" s="88" t="s">
        <v>2</v>
      </c>
    </row>
    <row r="14" spans="1:3" ht="15.75" customHeight="1">
      <c r="A14" s="99" t="s">
        <v>34</v>
      </c>
      <c r="B14" s="100" t="s">
        <v>4</v>
      </c>
      <c r="C14" s="100" t="s">
        <v>5</v>
      </c>
    </row>
    <row r="15" spans="1:3" ht="15.75" customHeight="1">
      <c r="A15" s="98"/>
      <c r="B15" s="98"/>
      <c r="C15" s="98"/>
    </row>
    <row r="16" spans="1:3" ht="15.75" customHeight="1">
      <c r="A16" s="89">
        <v>3000</v>
      </c>
      <c r="B16" s="25">
        <f>(A16*C16)/365</f>
        <v>2.0547945205479454</v>
      </c>
      <c r="C16" s="93">
        <v>0.25</v>
      </c>
    </row>
    <row r="17" spans="1:3" ht="15.75" customHeight="1"/>
    <row r="18" spans="1:3" ht="15.75" customHeight="1">
      <c r="A18" s="99" t="s">
        <v>35</v>
      </c>
      <c r="B18" s="97" t="s">
        <v>6</v>
      </c>
    </row>
    <row r="19" spans="1:3" ht="15.75" customHeight="1">
      <c r="A19" s="98"/>
      <c r="B19" s="98"/>
    </row>
    <row r="20" spans="1:3" ht="15.75" customHeight="1">
      <c r="A20" s="89">
        <v>10</v>
      </c>
      <c r="B20" s="25">
        <f>A20*B16</f>
        <v>20.547945205479454</v>
      </c>
    </row>
    <row r="21" spans="1:3" ht="15.75" customHeight="1"/>
    <row r="22" spans="1:3" ht="15.75" customHeight="1"/>
    <row r="23" spans="1:3" ht="15.75" customHeight="1">
      <c r="A23" s="15"/>
      <c r="B23" s="15"/>
      <c r="C23" s="15"/>
    </row>
    <row r="24" spans="1:3" ht="15.75" customHeight="1"/>
    <row r="25" spans="1:3" ht="15.75" customHeight="1">
      <c r="A25" s="2" t="s">
        <v>36</v>
      </c>
      <c r="B25" s="88" t="s">
        <v>2</v>
      </c>
    </row>
    <row r="26" spans="1:3" ht="15.75" customHeight="1">
      <c r="A26" s="99" t="s">
        <v>34</v>
      </c>
      <c r="B26" s="100" t="s">
        <v>4</v>
      </c>
      <c r="C26" s="100" t="s">
        <v>5</v>
      </c>
    </row>
    <row r="27" spans="1:3" ht="15.75" customHeight="1">
      <c r="A27" s="98"/>
      <c r="B27" s="98"/>
      <c r="C27" s="98"/>
    </row>
    <row r="28" spans="1:3" ht="15.75" customHeight="1">
      <c r="A28" s="89">
        <v>3000</v>
      </c>
      <c r="B28" s="6">
        <f>(A28*C28)/365</f>
        <v>2.0547945205479454</v>
      </c>
      <c r="C28" s="7">
        <v>0.25</v>
      </c>
    </row>
    <row r="29" spans="1:3" ht="15.75" customHeight="1"/>
    <row r="30" spans="1:3" ht="15.75" customHeight="1">
      <c r="A30" s="99" t="s">
        <v>35</v>
      </c>
      <c r="B30" s="97" t="s">
        <v>6</v>
      </c>
    </row>
    <row r="31" spans="1:3" ht="15.75" customHeight="1">
      <c r="A31" s="98"/>
      <c r="B31" s="98"/>
    </row>
    <row r="32" spans="1:3" ht="15.75" customHeight="1">
      <c r="A32" s="89">
        <v>10</v>
      </c>
      <c r="B32" s="6">
        <f>A32*B28</f>
        <v>20.547945205479454</v>
      </c>
    </row>
    <row r="33" spans="1:3" ht="15.75" customHeight="1"/>
    <row r="34" spans="1:3" ht="15.75" customHeight="1"/>
    <row r="35" spans="1:3" ht="15.75" customHeight="1">
      <c r="A35" s="15"/>
      <c r="B35" s="15"/>
      <c r="C35" s="15"/>
    </row>
    <row r="36" spans="1:3" ht="15.75" customHeight="1"/>
    <row r="37" spans="1:3" ht="15.75" customHeight="1">
      <c r="A37" s="16" t="s">
        <v>37</v>
      </c>
      <c r="B37" s="88" t="s">
        <v>2</v>
      </c>
    </row>
    <row r="38" spans="1:3" ht="15.75" customHeight="1">
      <c r="A38" s="99" t="s">
        <v>34</v>
      </c>
      <c r="B38" s="100" t="s">
        <v>4</v>
      </c>
      <c r="C38" s="100" t="s">
        <v>5</v>
      </c>
    </row>
    <row r="39" spans="1:3" ht="15.75" customHeight="1">
      <c r="A39" s="98"/>
      <c r="B39" s="98"/>
      <c r="C39" s="98"/>
    </row>
    <row r="40" spans="1:3" ht="15.75" customHeight="1">
      <c r="A40" s="89">
        <v>3000</v>
      </c>
      <c r="B40" s="17">
        <f>(A40*C40)/365</f>
        <v>2.0547945205479454</v>
      </c>
      <c r="C40" s="18">
        <v>0.25</v>
      </c>
    </row>
    <row r="41" spans="1:3" ht="15.75" customHeight="1"/>
    <row r="42" spans="1:3" ht="15.75" customHeight="1">
      <c r="A42" s="99" t="s">
        <v>35</v>
      </c>
      <c r="B42" s="97" t="s">
        <v>6</v>
      </c>
    </row>
    <row r="43" spans="1:3" ht="15.75" customHeight="1">
      <c r="A43" s="98"/>
      <c r="B43" s="98"/>
    </row>
    <row r="44" spans="1:3" ht="15.75" customHeight="1">
      <c r="A44" s="89">
        <v>10</v>
      </c>
      <c r="B44" s="17">
        <f>A44*B40</f>
        <v>20.547945205479454</v>
      </c>
    </row>
    <row r="45" spans="1:3" ht="15.75" customHeight="1"/>
    <row r="46" spans="1:3" ht="15.75" customHeight="1"/>
    <row r="47" spans="1:3" ht="15.75" customHeight="1">
      <c r="A47" s="15"/>
      <c r="B47" s="15"/>
      <c r="C47" s="15"/>
    </row>
    <row r="48" spans="1:3" ht="15.75" customHeight="1"/>
    <row r="49" spans="1:3" ht="15.75" customHeight="1">
      <c r="A49" s="94" t="s">
        <v>38</v>
      </c>
      <c r="B49" s="88" t="s">
        <v>2</v>
      </c>
    </row>
    <row r="50" spans="1:3" ht="15.75" customHeight="1">
      <c r="A50" s="99" t="s">
        <v>34</v>
      </c>
      <c r="B50" s="100" t="s">
        <v>4</v>
      </c>
      <c r="C50" s="100" t="s">
        <v>5</v>
      </c>
    </row>
    <row r="51" spans="1:3" ht="15.75" customHeight="1">
      <c r="A51" s="98"/>
      <c r="B51" s="98"/>
      <c r="C51" s="98"/>
    </row>
    <row r="52" spans="1:3" ht="15.75" customHeight="1">
      <c r="A52" s="89">
        <v>3000</v>
      </c>
      <c r="B52" s="95">
        <f>(A52*C52)/365</f>
        <v>2.0547945205479454</v>
      </c>
      <c r="C52" s="96">
        <v>0.25</v>
      </c>
    </row>
    <row r="53" spans="1:3" ht="15.75" customHeight="1"/>
    <row r="54" spans="1:3" ht="15.75" customHeight="1">
      <c r="A54" s="99" t="s">
        <v>35</v>
      </c>
      <c r="B54" s="97" t="s">
        <v>6</v>
      </c>
    </row>
    <row r="55" spans="1:3" ht="15.75" customHeight="1">
      <c r="A55" s="98"/>
      <c r="B55" s="98"/>
    </row>
    <row r="56" spans="1:3" ht="15.75" customHeight="1">
      <c r="A56" s="89">
        <v>10</v>
      </c>
      <c r="B56" s="95">
        <f>A56*B52</f>
        <v>20.547945205479454</v>
      </c>
    </row>
    <row r="57" spans="1:3" ht="15.75" customHeight="1"/>
    <row r="58" spans="1:3" ht="15.75" customHeight="1"/>
    <row r="59" spans="1:3" ht="15.75" customHeight="1">
      <c r="A59" s="15"/>
      <c r="B59" s="15"/>
      <c r="C59" s="15"/>
    </row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2:A3"/>
    <mergeCell ref="B2:B3"/>
    <mergeCell ref="C2:C3"/>
    <mergeCell ref="A6:A7"/>
    <mergeCell ref="B6:B7"/>
    <mergeCell ref="B14:B15"/>
    <mergeCell ref="C14:C15"/>
    <mergeCell ref="A14:A15"/>
    <mergeCell ref="A18:A19"/>
    <mergeCell ref="B18:B19"/>
    <mergeCell ref="A26:A27"/>
    <mergeCell ref="B26:B27"/>
    <mergeCell ref="C26:C27"/>
    <mergeCell ref="B30:B31"/>
    <mergeCell ref="B50:B51"/>
    <mergeCell ref="C50:C51"/>
    <mergeCell ref="C38:C39"/>
    <mergeCell ref="A54:A55"/>
    <mergeCell ref="B54:B55"/>
    <mergeCell ref="A30:A31"/>
    <mergeCell ref="A38:A39"/>
    <mergeCell ref="B38:B39"/>
    <mergeCell ref="A42:A43"/>
    <mergeCell ref="B42:B43"/>
    <mergeCell ref="A50:A5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คำนวณดอกเบี้ย SPL</vt:lpstr>
      <vt:lpstr>Product type</vt:lpstr>
      <vt:lpstr>คำนวณดอกเบี้ย BCL &amp; SCL</vt:lpstr>
      <vt:lpstr>เงื่อนไข</vt:lpstr>
      <vt:lpstr>คำนวนการแบ่งชำระ 1</vt:lpstr>
      <vt:lpstr>ส่วนลดปิดบัญชี WRO 3</vt:lpstr>
      <vt:lpstr>คำนวนการแบ่งชำระ 2</vt:lpstr>
      <vt:lpstr>SEC(BCL)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Oabnithi (Oab/โอบ) [THSM0357]</cp:lastModifiedBy>
  <dcterms:modified xsi:type="dcterms:W3CDTF">2026-06-16T08:28:50Z</dcterms:modified>
</cp:coreProperties>
</file>